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 Budget Logframe" sheetId="1" state="visible" r:id="rId1"/>
    <sheet xmlns:r="http://schemas.openxmlformats.org/officeDocument/2006/relationships" name="Hardware Budget" sheetId="2" state="visible" r:id="rId2"/>
    <sheet xmlns:r="http://schemas.openxmlformats.org/officeDocument/2006/relationships" name="Budget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—"/>
    <numFmt numFmtId="166" formatCode="0.0%"/>
  </numFmts>
  <fonts count="25">
    <font>
      <name val="Calibri"/>
      <family val="2"/>
      <color theme="1"/>
      <sz val="11"/>
      <scheme val="minor"/>
    </font>
    <font>
      <name val="DM Sans"/>
      <b val="1"/>
      <color rgb="00FFFFFF"/>
      <sz val="16"/>
    </font>
    <font>
      <name val="DM Sans"/>
      <i val="1"/>
      <color rgb="007CB342"/>
      <sz val="10"/>
    </font>
    <font>
      <name val="DM Sans"/>
      <b val="1"/>
      <color rgb="001A1A0E"/>
      <sz val="13"/>
    </font>
    <font>
      <name val="DM Sans"/>
      <b val="1"/>
      <color rgb="00FFFFFF"/>
      <sz val="9"/>
    </font>
    <font>
      <name val="DM Sans"/>
      <b val="1"/>
      <color rgb="00FFFFFF"/>
      <sz val="10"/>
    </font>
    <font>
      <name val="DM Sans"/>
      <b val="1"/>
      <color rgb="00FFCA28"/>
      <sz val="10"/>
    </font>
    <font>
      <name val="DM Sans"/>
      <b val="1"/>
      <color rgb="00FFFFFF"/>
      <sz val="8"/>
    </font>
    <font>
      <name val="DM Sans"/>
      <b val="1"/>
      <color rgb="002D5016"/>
      <sz val="8"/>
    </font>
    <font>
      <name val="DM Sans"/>
      <color rgb="001A1A0E"/>
      <sz val="9"/>
    </font>
    <font>
      <name val="JetBrains Mono"/>
      <color rgb="001A1A0E"/>
      <sz val="8.5"/>
    </font>
    <font>
      <name val="JetBrains Mono"/>
      <b val="1"/>
      <color rgb="004A7A2E"/>
      <sz val="8.5"/>
    </font>
    <font>
      <name val="JetBrains Mono"/>
      <b val="1"/>
      <color rgb="002D5016"/>
      <sz val="8.5"/>
    </font>
    <font>
      <name val="DM Sans"/>
      <b val="1"/>
      <color rgb="002D5016"/>
      <sz val="9"/>
    </font>
    <font>
      <name val="JetBrains Mono"/>
      <b val="1"/>
      <color rgb="002D5016"/>
      <sz val="9"/>
    </font>
    <font>
      <name val="JetBrains Mono"/>
      <b val="1"/>
      <color rgb="00FFCA28"/>
      <sz val="9"/>
    </font>
    <font>
      <name val="JetBrains Mono"/>
      <b val="1"/>
      <color rgb="00FFCA28"/>
      <sz val="11"/>
    </font>
    <font>
      <name val="JetBrains Mono"/>
      <b val="1"/>
      <color rgb="002D5016"/>
      <sz val="10"/>
    </font>
    <font>
      <name val="JetBrains Mono"/>
      <b val="1"/>
      <color rgb="00F9A825"/>
      <sz val="10"/>
    </font>
    <font>
      <name val="DM Sans"/>
      <b val="1"/>
      <color rgb="00FFFFFF"/>
      <sz val="14"/>
    </font>
    <font>
      <name val="DM Sans"/>
      <i val="1"/>
      <color rgb="007CB342"/>
      <sz val="9"/>
    </font>
    <font>
      <name val="DM Sans"/>
      <color rgb="007A7A62"/>
      <sz val="9"/>
    </font>
    <font>
      <name val="DM Sans"/>
      <color rgb="001A1A0E"/>
      <sz val="10"/>
    </font>
    <font>
      <name val="DM Sans"/>
      <b val="1"/>
      <color rgb="00FFCA28"/>
      <sz val="11"/>
    </font>
    <font>
      <name val="JetBrains Mono"/>
      <b val="1"/>
      <color rgb="00FFCA28"/>
      <sz val="10"/>
    </font>
  </fonts>
  <fills count="13">
    <fill>
      <patternFill/>
    </fill>
    <fill>
      <patternFill patternType="gray125"/>
    </fill>
    <fill>
      <patternFill patternType="solid">
        <fgColor rgb="001A1A0E"/>
        <bgColor rgb="001A1A0E"/>
      </patternFill>
    </fill>
    <fill>
      <patternFill patternType="solid">
        <fgColor rgb="00FFCA28"/>
        <bgColor rgb="00FFCA28"/>
      </patternFill>
    </fill>
    <fill>
      <patternFill patternType="solid">
        <fgColor rgb="002D5016"/>
        <bgColor rgb="002D5016"/>
      </patternFill>
    </fill>
    <fill>
      <patternFill patternType="solid">
        <fgColor rgb="00F5F0E1"/>
        <bgColor rgb="00F5F0E1"/>
      </patternFill>
    </fill>
    <fill>
      <patternFill patternType="solid">
        <fgColor rgb="00EDF7E1"/>
        <bgColor rgb="00EDF7E1"/>
      </patternFill>
    </fill>
    <fill>
      <patternFill patternType="solid">
        <fgColor rgb="00E1F0ED"/>
        <bgColor rgb="00E1F0ED"/>
      </patternFill>
    </fill>
    <fill>
      <patternFill patternType="solid">
        <fgColor rgb="00F0EDE1"/>
        <bgColor rgb="00F0EDE1"/>
      </patternFill>
    </fill>
    <fill>
      <patternFill patternType="solid">
        <fgColor rgb="00FFF8E1"/>
        <bgColor rgb="00FFF8E1"/>
      </patternFill>
    </fill>
    <fill>
      <patternFill patternType="solid">
        <fgColor rgb="00FAF6E9"/>
        <bgColor rgb="00FAF6E9"/>
      </patternFill>
    </fill>
    <fill>
      <patternFill patternType="solid">
        <fgColor rgb="00E8F0DF"/>
        <bgColor rgb="00E8F0DF"/>
      </patternFill>
    </fill>
    <fill>
      <patternFill patternType="solid">
        <fgColor rgb="00F0F0E8"/>
        <bgColor rgb="00F0F0E8"/>
      </patternFill>
    </fill>
  </fills>
  <borders count="11">
    <border>
      <left/>
      <right/>
      <top/>
      <bottom/>
      <diagonal/>
    </border>
    <border>
      <left style="thin">
        <color rgb="00C0C8B0"/>
      </left>
      <right style="thin">
        <color rgb="00C0C8B0"/>
      </right>
      <top style="thin">
        <color rgb="00C0C8B0"/>
      </top>
      <bottom style="thin">
        <color rgb="00C0C8B0"/>
      </bottom>
    </border>
    <border>
      <left style="thin">
        <color rgb="00C0C8B0"/>
      </left>
      <right style="thin">
        <color rgb="00C0C8B0"/>
      </right>
      <top style="medium">
        <color rgb="002D5016"/>
      </top>
      <bottom style="medium">
        <color rgb="002D5016"/>
      </bottom>
    </border>
    <border>
      <left style="medium">
        <color rgb="002D5016"/>
      </left>
      <right style="medium">
        <color rgb="002D5016"/>
      </right>
      <top style="thick">
        <color rgb="002D5016"/>
      </top>
      <bottom style="thick">
        <color rgb="002D5016"/>
      </bottom>
    </border>
    <border>
      <left/>
      <right/>
      <top style="thick">
        <color rgb="002D5016"/>
      </top>
      <bottom/>
      <diagonal/>
    </border>
    <border>
      <left/>
      <right style="medium">
        <color rgb="002D5016"/>
      </right>
      <top style="thick">
        <color rgb="002D5016"/>
      </top>
      <bottom/>
      <diagonal/>
    </border>
    <border>
      <left/>
      <right style="medium">
        <color rgb="002D5016"/>
      </right>
      <top style="thick">
        <color rgb="002D5016"/>
      </top>
      <bottom style="thick">
        <color rgb="002D5016"/>
      </bottom>
      <diagonal/>
    </border>
    <border>
      <left/>
      <right/>
      <top style="thin">
        <color rgb="00C0C8B0"/>
      </top>
      <bottom/>
      <diagonal/>
    </border>
    <border>
      <left/>
      <right style="thin">
        <color rgb="00C0C8B0"/>
      </right>
      <top style="thin">
        <color rgb="00C0C8B0"/>
      </top>
      <bottom/>
      <diagonal/>
    </border>
    <border>
      <left/>
      <right style="thin">
        <color rgb="00C0C8B0"/>
      </right>
      <top style="thin">
        <color rgb="00C0C8B0"/>
      </top>
      <bottom style="thin">
        <color rgb="00C0C8B0"/>
      </bottom>
      <diagonal/>
    </border>
    <border>
      <left/>
      <right/>
      <top style="thick">
        <color rgb="002D5016"/>
      </top>
      <bottom style="thick">
        <color rgb="002D5016"/>
      </bottom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vertical="center" wrapText="1"/>
    </xf>
    <xf numFmtId="164" fontId="10" fillId="5" borderId="1" applyAlignment="1" pivotButton="0" quotePrefix="0" xfId="0">
      <alignment horizontal="right" vertical="center"/>
    </xf>
    <xf numFmtId="165" fontId="10" fillId="5" borderId="1" applyAlignment="1" pivotButton="0" quotePrefix="0" xfId="0">
      <alignment horizontal="right" vertical="center"/>
    </xf>
    <xf numFmtId="164" fontId="11" fillId="6" borderId="1" applyAlignment="1" pivotButton="0" quotePrefix="0" xfId="0">
      <alignment horizontal="right" vertical="center"/>
    </xf>
    <xf numFmtId="164" fontId="11" fillId="7" borderId="1" applyAlignment="1" pivotButton="0" quotePrefix="0" xfId="0">
      <alignment horizontal="right" vertical="center"/>
    </xf>
    <xf numFmtId="164" fontId="11" fillId="8" borderId="1" applyAlignment="1" pivotButton="0" quotePrefix="0" xfId="0">
      <alignment horizontal="right" vertical="center"/>
    </xf>
    <xf numFmtId="164" fontId="12" fillId="9" borderId="1" applyAlignment="1" pivotButton="0" quotePrefix="0" xfId="0">
      <alignment horizontal="right" vertical="center"/>
    </xf>
    <xf numFmtId="0" fontId="0" fillId="10" borderId="1" pivotButton="0" quotePrefix="0" xfId="0"/>
    <xf numFmtId="0" fontId="9" fillId="10" borderId="1" applyAlignment="1" pivotButton="0" quotePrefix="0" xfId="0">
      <alignment vertical="center" wrapText="1"/>
    </xf>
    <xf numFmtId="164" fontId="10" fillId="10" borderId="1" applyAlignment="1" pivotButton="0" quotePrefix="0" xfId="0">
      <alignment horizontal="right" vertical="center"/>
    </xf>
    <xf numFmtId="165" fontId="10" fillId="10" borderId="1" applyAlignment="1" pivotButton="0" quotePrefix="0" xfId="0">
      <alignment horizontal="right" vertical="center"/>
    </xf>
    <xf numFmtId="0" fontId="0" fillId="5" borderId="1" pivotButton="0" quotePrefix="0" xfId="0"/>
    <xf numFmtId="0" fontId="0" fillId="11" borderId="2" pivotButton="0" quotePrefix="0" xfId="0"/>
    <xf numFmtId="0" fontId="13" fillId="11" borderId="2" applyAlignment="1" pivotButton="0" quotePrefix="0" xfId="0">
      <alignment horizontal="left" vertical="center"/>
    </xf>
    <xf numFmtId="164" fontId="11" fillId="11" borderId="2" applyAlignment="1" pivotButton="0" quotePrefix="0" xfId="0">
      <alignment horizontal="right" vertical="center"/>
    </xf>
    <xf numFmtId="164" fontId="14" fillId="11" borderId="2" applyAlignment="1" pivotButton="0" quotePrefix="0" xfId="0">
      <alignment horizontal="right" vertical="center"/>
    </xf>
    <xf numFmtId="0" fontId="6" fillId="2" borderId="3" applyAlignment="1" pivotButton="0" quotePrefix="0" xfId="0">
      <alignment horizontal="right" vertical="center"/>
    </xf>
    <xf numFmtId="0" fontId="0" fillId="0" borderId="6" pivotButton="0" quotePrefix="0" xfId="0"/>
    <xf numFmtId="164" fontId="15" fillId="2" borderId="3" applyAlignment="1" pivotButton="0" quotePrefix="0" xfId="0">
      <alignment horizontal="right" vertical="center"/>
    </xf>
    <xf numFmtId="164" fontId="16" fillId="2" borderId="3" applyAlignment="1" pivotButton="0" quotePrefix="0" xfId="0">
      <alignment horizontal="right" vertical="center"/>
    </xf>
    <xf numFmtId="0" fontId="13" fillId="12" borderId="1" applyAlignment="1" pivotButton="0" quotePrefix="0" xfId="0">
      <alignment horizontal="right" vertical="center"/>
    </xf>
    <xf numFmtId="0" fontId="0" fillId="0" borderId="9" pivotButton="0" quotePrefix="0" xfId="0"/>
    <xf numFmtId="0" fontId="0" fillId="12" borderId="1" pivotButton="0" quotePrefix="0" xfId="0"/>
    <xf numFmtId="164" fontId="17" fillId="12" borderId="1" applyAlignment="1" pivotButton="0" quotePrefix="0" xfId="0">
      <alignment horizontal="right" vertical="center"/>
    </xf>
    <xf numFmtId="164" fontId="18" fillId="12" borderId="1" applyAlignment="1" pivotButton="0" quotePrefix="0" xfId="0">
      <alignment horizontal="right" vertical="center"/>
    </xf>
    <xf numFmtId="0" fontId="19" fillId="2" borderId="1" applyAlignment="1" pivotButton="0" quotePrefix="0" xfId="0">
      <alignment horizontal="center" vertical="center"/>
    </xf>
    <xf numFmtId="0" fontId="20" fillId="2" borderId="1" applyAlignment="1" pivotButton="0" quotePrefix="0" xfId="0">
      <alignment horizontal="center" vertical="center"/>
    </xf>
    <xf numFmtId="0" fontId="21" fillId="10" borderId="1" applyAlignment="1" pivotButton="0" quotePrefix="0" xfId="0">
      <alignment horizontal="center"/>
    </xf>
    <xf numFmtId="0" fontId="9" fillId="10" borderId="1" pivotButton="0" quotePrefix="0" xfId="0"/>
    <xf numFmtId="0" fontId="9" fillId="10" borderId="1" applyAlignment="1" pivotButton="0" quotePrefix="0" xfId="0">
      <alignment horizontal="center"/>
    </xf>
    <xf numFmtId="164" fontId="10" fillId="10" borderId="1" applyAlignment="1" pivotButton="0" quotePrefix="0" xfId="0">
      <alignment horizontal="right"/>
    </xf>
    <xf numFmtId="164" fontId="12" fillId="10" borderId="1" applyAlignment="1" pivotButton="0" quotePrefix="0" xfId="0">
      <alignment horizontal="right"/>
    </xf>
    <xf numFmtId="0" fontId="21" fillId="5" borderId="1" applyAlignment="1" pivotButton="0" quotePrefix="0" xfId="0">
      <alignment horizontal="center"/>
    </xf>
    <xf numFmtId="0" fontId="9" fillId="5" borderId="1" pivotButton="0" quotePrefix="0" xfId="0"/>
    <xf numFmtId="0" fontId="9" fillId="5" borderId="1" applyAlignment="1" pivotButton="0" quotePrefix="0" xfId="0">
      <alignment horizontal="center"/>
    </xf>
    <xf numFmtId="164" fontId="10" fillId="5" borderId="1" applyAlignment="1" pivotButton="0" quotePrefix="0" xfId="0">
      <alignment horizontal="right"/>
    </xf>
    <xf numFmtId="164" fontId="12" fillId="5" borderId="1" applyAlignment="1" pivotButton="0" quotePrefix="0" xfId="0">
      <alignment horizontal="right"/>
    </xf>
    <xf numFmtId="0" fontId="0" fillId="0" borderId="10" pivotButton="0" quotePrefix="0" xfId="0"/>
    <xf numFmtId="0" fontId="22" fillId="10" borderId="1" pivotButton="0" quotePrefix="0" xfId="0"/>
    <xf numFmtId="164" fontId="14" fillId="10" borderId="1" applyAlignment="1" pivotButton="0" quotePrefix="0" xfId="0">
      <alignment horizontal="right"/>
    </xf>
    <xf numFmtId="166" fontId="10" fillId="10" borderId="1" applyAlignment="1" pivotButton="0" quotePrefix="0" xfId="0">
      <alignment horizontal="center"/>
    </xf>
    <xf numFmtId="0" fontId="22" fillId="5" borderId="1" pivotButton="0" quotePrefix="0" xfId="0"/>
    <xf numFmtId="164" fontId="14" fillId="5" borderId="1" applyAlignment="1" pivotButton="0" quotePrefix="0" xfId="0">
      <alignment horizontal="right"/>
    </xf>
    <xf numFmtId="166" fontId="10" fillId="5" borderId="1" applyAlignment="1" pivotButton="0" quotePrefix="0" xfId="0">
      <alignment horizontal="center"/>
    </xf>
    <xf numFmtId="0" fontId="23" fillId="2" borderId="3" applyAlignment="1" pivotButton="0" quotePrefix="0" xfId="0">
      <alignment horizontal="right"/>
    </xf>
    <xf numFmtId="164" fontId="24" fillId="2" borderId="3" applyAlignment="1" pivotButton="0" quotePrefix="0" xfId="0">
      <alignment horizontal="right"/>
    </xf>
    <xf numFmtId="166" fontId="24" fillId="2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30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 ht="32" customHeight="1">
      <c r="A1" s="1" t="inlineStr">
        <is>
          <t>MooMe — IoT-AI Livestock Intelligence Platform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0" customHeight="1">
      <c r="A2" s="3" t="inlineStr">
        <is>
          <t>Quarterly Budget Breakdown — Solution Design, Development &amp; Promotion | 3-Year Logframe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 ht="24" customHeight="1">
      <c r="A3" s="4">
        <f>CONCATENATE("Grand Total: USD ",TEXT(R28,"$#,##0")," over 3 Years")</f>
        <v/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</row>
    <row r="4" ht="4" customHeight="1"/>
    <row r="5" ht="22" customHeight="1">
      <c r="A5" s="6" t="inlineStr">
        <is>
          <t>Category</t>
        </is>
      </c>
      <c r="B5" s="6" t="inlineStr">
        <is>
          <t>Activity / Deliverable</t>
        </is>
      </c>
      <c r="C5" s="7" t="inlineStr">
        <is>
          <t>Year 1</t>
        </is>
      </c>
      <c r="D5" s="8" t="n"/>
      <c r="E5" s="8" t="n"/>
      <c r="F5" s="8" t="n"/>
      <c r="G5" s="8" t="n"/>
      <c r="H5" s="7" t="inlineStr">
        <is>
          <t>Year 2</t>
        </is>
      </c>
      <c r="I5" s="8" t="n"/>
      <c r="J5" s="8" t="n"/>
      <c r="K5" s="8" t="n"/>
      <c r="L5" s="8" t="n"/>
      <c r="M5" s="7" t="inlineStr">
        <is>
          <t>Year 3</t>
        </is>
      </c>
      <c r="N5" s="8" t="n"/>
      <c r="O5" s="8" t="n"/>
      <c r="P5" s="8" t="n"/>
      <c r="Q5" s="8" t="n"/>
      <c r="R5" s="9" t="inlineStr">
        <is>
          <t>Total</t>
        </is>
      </c>
    </row>
    <row r="6" ht="18" customHeight="1">
      <c r="A6" s="8" t="n"/>
      <c r="B6" s="8" t="n"/>
      <c r="C6" s="10" t="inlineStr">
        <is>
          <t>Q1</t>
        </is>
      </c>
      <c r="D6" s="10" t="inlineStr">
        <is>
          <t>Q2</t>
        </is>
      </c>
      <c r="E6" s="10" t="inlineStr">
        <is>
          <t>Q3</t>
        </is>
      </c>
      <c r="F6" s="10" t="inlineStr">
        <is>
          <t>Q4</t>
        </is>
      </c>
      <c r="G6" s="10" t="inlineStr">
        <is>
          <t>Y1 Total</t>
        </is>
      </c>
      <c r="H6" s="10" t="inlineStr">
        <is>
          <t>Q1</t>
        </is>
      </c>
      <c r="I6" s="10" t="inlineStr">
        <is>
          <t>Q2</t>
        </is>
      </c>
      <c r="J6" s="10" t="inlineStr">
        <is>
          <t>Q3</t>
        </is>
      </c>
      <c r="K6" s="10" t="inlineStr">
        <is>
          <t>Q4</t>
        </is>
      </c>
      <c r="L6" s="10" t="inlineStr">
        <is>
          <t>Y2 Total</t>
        </is>
      </c>
      <c r="M6" s="10" t="inlineStr">
        <is>
          <t>Q1</t>
        </is>
      </c>
      <c r="N6" s="10" t="inlineStr">
        <is>
          <t>Q2</t>
        </is>
      </c>
      <c r="O6" s="10" t="inlineStr">
        <is>
          <t>Q3</t>
        </is>
      </c>
      <c r="P6" s="10" t="inlineStr">
        <is>
          <t>Q4</t>
        </is>
      </c>
      <c r="Q6" s="10" t="inlineStr">
        <is>
          <t>Y3 Total</t>
        </is>
      </c>
      <c r="R6" s="8" t="n"/>
    </row>
    <row r="7" ht="18" customHeight="1">
      <c r="A7" s="11" t="inlineStr">
        <is>
          <t>SOLUTION DESIGN</t>
        </is>
      </c>
      <c r="B7" s="12" t="inlineStr">
        <is>
          <t>System Architecture &amp; Requirements</t>
        </is>
      </c>
      <c r="C7" s="13" t="n">
        <v>8000</v>
      </c>
      <c r="D7" s="13" t="n">
        <v>5000</v>
      </c>
      <c r="E7" s="14" t="n">
        <v>0</v>
      </c>
      <c r="F7" s="14" t="n">
        <v>0</v>
      </c>
      <c r="G7" s="15">
        <f>SUM(C7:F7)</f>
        <v/>
      </c>
      <c r="H7" s="13" t="n">
        <v>4000</v>
      </c>
      <c r="I7" s="13" t="n">
        <v>2000</v>
      </c>
      <c r="J7" s="14" t="n">
        <v>0</v>
      </c>
      <c r="K7" s="14" t="n">
        <v>0</v>
      </c>
      <c r="L7" s="16">
        <f>SUM(H7:K7)</f>
        <v/>
      </c>
      <c r="M7" s="13" t="n">
        <v>3000</v>
      </c>
      <c r="N7" s="14" t="n">
        <v>0</v>
      </c>
      <c r="O7" s="14" t="n">
        <v>0</v>
      </c>
      <c r="P7" s="14" t="n">
        <v>0</v>
      </c>
      <c r="Q7" s="17">
        <f>SUM(M7:P7)</f>
        <v/>
      </c>
      <c r="R7" s="18">
        <f>G7+L7+Q7</f>
        <v/>
      </c>
    </row>
    <row r="8" ht="18" customHeight="1">
      <c r="A8" s="19" t="inlineStr"/>
      <c r="B8" s="20" t="inlineStr">
        <is>
          <t>IoT Sensor Design &amp; GHG Sensor Spec</t>
        </is>
      </c>
      <c r="C8" s="21" t="n">
        <v>6000</v>
      </c>
      <c r="D8" s="21" t="n">
        <v>5000</v>
      </c>
      <c r="E8" s="21" t="n">
        <v>2000</v>
      </c>
      <c r="F8" s="22" t="n">
        <v>0</v>
      </c>
      <c r="G8" s="15">
        <f>SUM(C8:F8)</f>
        <v/>
      </c>
      <c r="H8" s="21" t="n">
        <v>3000</v>
      </c>
      <c r="I8" s="21" t="n">
        <v>3000</v>
      </c>
      <c r="J8" s="21" t="n">
        <v>2000</v>
      </c>
      <c r="K8" s="22" t="n">
        <v>0</v>
      </c>
      <c r="L8" s="16">
        <f>SUM(H8:K8)</f>
        <v/>
      </c>
      <c r="M8" s="21" t="n">
        <v>3000</v>
      </c>
      <c r="N8" s="21" t="n">
        <v>2000</v>
      </c>
      <c r="O8" s="22" t="n">
        <v>0</v>
      </c>
      <c r="P8" s="22" t="n">
        <v>0</v>
      </c>
      <c r="Q8" s="17">
        <f>SUM(M8:P8)</f>
        <v/>
      </c>
      <c r="R8" s="18">
        <f>G8+L8+Q8</f>
        <v/>
      </c>
    </row>
    <row r="9" ht="18" customHeight="1">
      <c r="A9" s="23" t="inlineStr"/>
      <c r="B9" s="12" t="inlineStr">
        <is>
          <t>AI/ML Model Design (Disease, GHG, Yield)</t>
        </is>
      </c>
      <c r="C9" s="13" t="n">
        <v>5000</v>
      </c>
      <c r="D9" s="13" t="n">
        <v>5000</v>
      </c>
      <c r="E9" s="13" t="n">
        <v>3000</v>
      </c>
      <c r="F9" s="13" t="n">
        <v>2000</v>
      </c>
      <c r="G9" s="15">
        <f>SUM(C9:F9)</f>
        <v/>
      </c>
      <c r="H9" s="13" t="n">
        <v>4000</v>
      </c>
      <c r="I9" s="13" t="n">
        <v>4000</v>
      </c>
      <c r="J9" s="13" t="n">
        <v>3000</v>
      </c>
      <c r="K9" s="13" t="n">
        <v>2000</v>
      </c>
      <c r="L9" s="16">
        <f>SUM(H9:K9)</f>
        <v/>
      </c>
      <c r="M9" s="13" t="n">
        <v>3000</v>
      </c>
      <c r="N9" s="13" t="n">
        <v>3000</v>
      </c>
      <c r="O9" s="13" t="n">
        <v>3000</v>
      </c>
      <c r="P9" s="13" t="n">
        <v>2000</v>
      </c>
      <c r="Q9" s="17">
        <f>SUM(M9:P9)</f>
        <v/>
      </c>
      <c r="R9" s="18">
        <f>G9+L9+Q9</f>
        <v/>
      </c>
    </row>
    <row r="10" ht="18" customHeight="1">
      <c r="A10" s="19" t="inlineStr"/>
      <c r="B10" s="20" t="inlineStr">
        <is>
          <t>GHG / Biogas Monitoring System Design</t>
        </is>
      </c>
      <c r="C10" s="21" t="n">
        <v>4000</v>
      </c>
      <c r="D10" s="21" t="n">
        <v>4000</v>
      </c>
      <c r="E10" s="21" t="n">
        <v>2000</v>
      </c>
      <c r="F10" s="22" t="n">
        <v>0</v>
      </c>
      <c r="G10" s="15">
        <f>SUM(C10:F10)</f>
        <v/>
      </c>
      <c r="H10" s="21" t="n">
        <v>3000</v>
      </c>
      <c r="I10" s="21" t="n">
        <v>3000</v>
      </c>
      <c r="J10" s="21" t="n">
        <v>2000</v>
      </c>
      <c r="K10" s="21" t="n">
        <v>2000</v>
      </c>
      <c r="L10" s="16">
        <f>SUM(H10:K10)</f>
        <v/>
      </c>
      <c r="M10" s="21" t="n">
        <v>3000</v>
      </c>
      <c r="N10" s="21" t="n">
        <v>3000</v>
      </c>
      <c r="O10" s="21" t="n">
        <v>2000</v>
      </c>
      <c r="P10" s="21" t="n">
        <v>2000</v>
      </c>
      <c r="Q10" s="17">
        <f>SUM(M10:P10)</f>
        <v/>
      </c>
      <c r="R10" s="18">
        <f>G10+L10+Q10</f>
        <v/>
      </c>
    </row>
    <row r="11" ht="18" customHeight="1">
      <c r="A11" s="23" t="inlineStr"/>
      <c r="B11" s="12" t="inlineStr">
        <is>
          <t>Dashboard &amp; Mobile App UX/UI Design</t>
        </is>
      </c>
      <c r="C11" s="13" t="n">
        <v>3000</v>
      </c>
      <c r="D11" s="13" t="n">
        <v>3000</v>
      </c>
      <c r="E11" s="13" t="n">
        <v>2000</v>
      </c>
      <c r="F11" s="13" t="n">
        <v>1000</v>
      </c>
      <c r="G11" s="15">
        <f>SUM(C11:F11)</f>
        <v/>
      </c>
      <c r="H11" s="13" t="n">
        <v>2000</v>
      </c>
      <c r="I11" s="13" t="n">
        <v>2000</v>
      </c>
      <c r="J11" s="13" t="n">
        <v>2000</v>
      </c>
      <c r="K11" s="13" t="n">
        <v>1000</v>
      </c>
      <c r="L11" s="16">
        <f>SUM(H11:K11)</f>
        <v/>
      </c>
      <c r="M11" s="13" t="n">
        <v>2000</v>
      </c>
      <c r="N11" s="13" t="n">
        <v>2000</v>
      </c>
      <c r="O11" s="13" t="n">
        <v>1000</v>
      </c>
      <c r="P11" s="13" t="n">
        <v>1000</v>
      </c>
      <c r="Q11" s="17">
        <f>SUM(M11:P11)</f>
        <v/>
      </c>
      <c r="R11" s="18">
        <f>G11+L11+Q11</f>
        <v/>
      </c>
    </row>
    <row r="12" ht="20" customHeight="1">
      <c r="A12" s="24" t="inlineStr"/>
      <c r="B12" s="25" t="inlineStr">
        <is>
          <t>Design Subtotal</t>
        </is>
      </c>
      <c r="C12" s="26">
        <f>SUM(C7:C11)</f>
        <v/>
      </c>
      <c r="D12" s="26">
        <f>SUM(D7:D11)</f>
        <v/>
      </c>
      <c r="E12" s="26">
        <f>SUM(E7:E11)</f>
        <v/>
      </c>
      <c r="F12" s="26">
        <f>SUM(F7:F11)</f>
        <v/>
      </c>
      <c r="G12" s="26">
        <f>SUM(G7:G11)</f>
        <v/>
      </c>
      <c r="H12" s="26">
        <f>SUM(H7:H11)</f>
        <v/>
      </c>
      <c r="I12" s="26">
        <f>SUM(I7:I11)</f>
        <v/>
      </c>
      <c r="J12" s="26">
        <f>SUM(J7:J11)</f>
        <v/>
      </c>
      <c r="K12" s="26">
        <f>SUM(K7:K11)</f>
        <v/>
      </c>
      <c r="L12" s="26">
        <f>SUM(L7:L11)</f>
        <v/>
      </c>
      <c r="M12" s="26">
        <f>SUM(M7:M11)</f>
        <v/>
      </c>
      <c r="N12" s="26">
        <f>SUM(N7:N11)</f>
        <v/>
      </c>
      <c r="O12" s="26">
        <f>SUM(O7:O11)</f>
        <v/>
      </c>
      <c r="P12" s="26">
        <f>SUM(P7:P11)</f>
        <v/>
      </c>
      <c r="Q12" s="26">
        <f>SUM(Q7:Q11)</f>
        <v/>
      </c>
      <c r="R12" s="27">
        <f>G12+L12+Q12</f>
        <v/>
      </c>
    </row>
    <row r="13" ht="18" customHeight="1">
      <c r="A13" s="11" t="inlineStr">
        <is>
          <t>SOLUTION DEVELOPMENT</t>
        </is>
      </c>
      <c r="B13" s="12" t="inlineStr">
        <is>
          <t>IoT Hardware Procurement &amp; Assembly</t>
        </is>
      </c>
      <c r="C13" s="13" t="n">
        <v>3000</v>
      </c>
      <c r="D13" s="13" t="n">
        <v>10000</v>
      </c>
      <c r="E13" s="13" t="n">
        <v>8000</v>
      </c>
      <c r="F13" s="13" t="n">
        <v>4000</v>
      </c>
      <c r="G13" s="15">
        <f>SUM(C13:F13)</f>
        <v/>
      </c>
      <c r="H13" s="13" t="n">
        <v>6000</v>
      </c>
      <c r="I13" s="13" t="n">
        <v>8000</v>
      </c>
      <c r="J13" s="13" t="n">
        <v>7000</v>
      </c>
      <c r="K13" s="13" t="n">
        <v>5000</v>
      </c>
      <c r="L13" s="16">
        <f>SUM(H13:K13)</f>
        <v/>
      </c>
      <c r="M13" s="13" t="n">
        <v>8000</v>
      </c>
      <c r="N13" s="13" t="n">
        <v>10000</v>
      </c>
      <c r="O13" s="13" t="n">
        <v>8000</v>
      </c>
      <c r="P13" s="13" t="n">
        <v>6000</v>
      </c>
      <c r="Q13" s="17">
        <f>SUM(M13:P13)</f>
        <v/>
      </c>
      <c r="R13" s="18">
        <f>G13+L13+Q13</f>
        <v/>
      </c>
    </row>
    <row r="14" ht="18" customHeight="1">
      <c r="A14" s="19" t="inlineStr"/>
      <c r="B14" s="20" t="inlineStr">
        <is>
          <t>Embedded Software &amp; Firmware Dev</t>
        </is>
      </c>
      <c r="C14" s="21" t="n">
        <v>2000</v>
      </c>
      <c r="D14" s="21" t="n">
        <v>4000</v>
      </c>
      <c r="E14" s="21" t="n">
        <v>5000</v>
      </c>
      <c r="F14" s="21" t="n">
        <v>4000</v>
      </c>
      <c r="G14" s="15">
        <f>SUM(C14:F14)</f>
        <v/>
      </c>
      <c r="H14" s="21" t="n">
        <v>4000</v>
      </c>
      <c r="I14" s="21" t="n">
        <v>5000</v>
      </c>
      <c r="J14" s="21" t="n">
        <v>5000</v>
      </c>
      <c r="K14" s="21" t="n">
        <v>4000</v>
      </c>
      <c r="L14" s="16">
        <f>SUM(H14:K14)</f>
        <v/>
      </c>
      <c r="M14" s="21" t="n">
        <v>5000</v>
      </c>
      <c r="N14" s="21" t="n">
        <v>6000</v>
      </c>
      <c r="O14" s="21" t="n">
        <v>6000</v>
      </c>
      <c r="P14" s="21" t="n">
        <v>5000</v>
      </c>
      <c r="Q14" s="17">
        <f>SUM(M14:P14)</f>
        <v/>
      </c>
      <c r="R14" s="18">
        <f>G14+L14+Q14</f>
        <v/>
      </c>
    </row>
    <row r="15" ht="18" customHeight="1">
      <c r="A15" s="23" t="inlineStr"/>
      <c r="B15" s="12" t="inlineStr">
        <is>
          <t>AI Model Training &amp; Deployment</t>
        </is>
      </c>
      <c r="C15" s="14" t="n">
        <v>0</v>
      </c>
      <c r="D15" s="13" t="n">
        <v>3000</v>
      </c>
      <c r="E15" s="13" t="n">
        <v>5000</v>
      </c>
      <c r="F15" s="13" t="n">
        <v>5000</v>
      </c>
      <c r="G15" s="15">
        <f>SUM(C15:F15)</f>
        <v/>
      </c>
      <c r="H15" s="13" t="n">
        <v>5000</v>
      </c>
      <c r="I15" s="13" t="n">
        <v>6000</v>
      </c>
      <c r="J15" s="13" t="n">
        <v>6000</v>
      </c>
      <c r="K15" s="13" t="n">
        <v>5000</v>
      </c>
      <c r="L15" s="16">
        <f>SUM(H15:K15)</f>
        <v/>
      </c>
      <c r="M15" s="13" t="n">
        <v>7000</v>
      </c>
      <c r="N15" s="13" t="n">
        <v>7000</v>
      </c>
      <c r="O15" s="13" t="n">
        <v>7000</v>
      </c>
      <c r="P15" s="13" t="n">
        <v>6000</v>
      </c>
      <c r="Q15" s="17">
        <f>SUM(M15:P15)</f>
        <v/>
      </c>
      <c r="R15" s="18">
        <f>G15+L15+Q15</f>
        <v/>
      </c>
    </row>
    <row r="16" ht="18" customHeight="1">
      <c r="A16" s="19" t="inlineStr"/>
      <c r="B16" s="20" t="inlineStr">
        <is>
          <t>Web Dashboard &amp; Mobile App Dev</t>
        </is>
      </c>
      <c r="C16" s="22" t="n">
        <v>0</v>
      </c>
      <c r="D16" s="21" t="n">
        <v>3000</v>
      </c>
      <c r="E16" s="21" t="n">
        <v>5000</v>
      </c>
      <c r="F16" s="21" t="n">
        <v>5000</v>
      </c>
      <c r="G16" s="15">
        <f>SUM(C16:F16)</f>
        <v/>
      </c>
      <c r="H16" s="21" t="n">
        <v>5000</v>
      </c>
      <c r="I16" s="21" t="n">
        <v>6000</v>
      </c>
      <c r="J16" s="21" t="n">
        <v>5000</v>
      </c>
      <c r="K16" s="21" t="n">
        <v>5000</v>
      </c>
      <c r="L16" s="16">
        <f>SUM(H16:K16)</f>
        <v/>
      </c>
      <c r="M16" s="21" t="n">
        <v>6000</v>
      </c>
      <c r="N16" s="21" t="n">
        <v>7000</v>
      </c>
      <c r="O16" s="21" t="n">
        <v>6000</v>
      </c>
      <c r="P16" s="21" t="n">
        <v>6000</v>
      </c>
      <c r="Q16" s="17">
        <f>SUM(M16:P16)</f>
        <v/>
      </c>
      <c r="R16" s="18">
        <f>G16+L16+Q16</f>
        <v/>
      </c>
    </row>
    <row r="17" ht="18" customHeight="1">
      <c r="A17" s="23" t="inlineStr"/>
      <c r="B17" s="12" t="inlineStr">
        <is>
          <t>GHG Monitoring, Biogas &amp; NDC Integration</t>
        </is>
      </c>
      <c r="C17" s="13" t="n">
        <v>1000</v>
      </c>
      <c r="D17" s="13" t="n">
        <v>3000</v>
      </c>
      <c r="E17" s="13" t="n">
        <v>4000</v>
      </c>
      <c r="F17" s="13" t="n">
        <v>4000</v>
      </c>
      <c r="G17" s="15">
        <f>SUM(C17:F17)</f>
        <v/>
      </c>
      <c r="H17" s="13" t="n">
        <v>4000</v>
      </c>
      <c r="I17" s="13" t="n">
        <v>5000</v>
      </c>
      <c r="J17" s="13" t="n">
        <v>5000</v>
      </c>
      <c r="K17" s="13" t="n">
        <v>4000</v>
      </c>
      <c r="L17" s="16">
        <f>SUM(H17:K17)</f>
        <v/>
      </c>
      <c r="M17" s="13" t="n">
        <v>5000</v>
      </c>
      <c r="N17" s="13" t="n">
        <v>6000</v>
      </c>
      <c r="O17" s="13" t="n">
        <v>6000</v>
      </c>
      <c r="P17" s="13" t="n">
        <v>5000</v>
      </c>
      <c r="Q17" s="17">
        <f>SUM(M17:P17)</f>
        <v/>
      </c>
      <c r="R17" s="18">
        <f>G17+L17+Q17</f>
        <v/>
      </c>
    </row>
    <row r="18" ht="18" customHeight="1">
      <c r="A18" s="19" t="inlineStr"/>
      <c r="B18" s="20" t="inlineStr">
        <is>
          <t>Cloud Infrastructure, Database &amp; APIs</t>
        </is>
      </c>
      <c r="C18" s="21" t="n">
        <v>2000</v>
      </c>
      <c r="D18" s="21" t="n">
        <v>3000</v>
      </c>
      <c r="E18" s="21" t="n">
        <v>3000</v>
      </c>
      <c r="F18" s="21" t="n">
        <v>4479</v>
      </c>
      <c r="G18" s="15">
        <f>SUM(C18:F18)</f>
        <v/>
      </c>
      <c r="H18" s="21" t="n">
        <v>4000</v>
      </c>
      <c r="I18" s="21" t="n">
        <v>4000</v>
      </c>
      <c r="J18" s="21" t="n">
        <v>4000</v>
      </c>
      <c r="K18" s="21" t="n">
        <v>4575</v>
      </c>
      <c r="L18" s="16">
        <f>SUM(H18:K18)</f>
        <v/>
      </c>
      <c r="M18" s="21" t="n">
        <v>5000</v>
      </c>
      <c r="N18" s="21" t="n">
        <v>5000</v>
      </c>
      <c r="O18" s="21" t="n">
        <v>5000</v>
      </c>
      <c r="P18" s="21" t="n">
        <v>5233</v>
      </c>
      <c r="Q18" s="17">
        <f>SUM(M18:P18)</f>
        <v/>
      </c>
      <c r="R18" s="18">
        <f>G18+L18+Q18</f>
        <v/>
      </c>
    </row>
    <row r="19" ht="18" customHeight="1">
      <c r="A19" s="23" t="inlineStr"/>
      <c r="B19" s="12" t="inlineStr">
        <is>
          <t>Testing, QA &amp; Pilot Deployment</t>
        </is>
      </c>
      <c r="C19" s="14" t="n">
        <v>0</v>
      </c>
      <c r="D19" s="14" t="n">
        <v>0</v>
      </c>
      <c r="E19" s="13" t="n">
        <v>5000</v>
      </c>
      <c r="F19" s="13" t="n">
        <v>7000</v>
      </c>
      <c r="G19" s="15">
        <f>SUM(C19:F19)</f>
        <v/>
      </c>
      <c r="H19" s="13" t="n">
        <v>4000</v>
      </c>
      <c r="I19" s="13" t="n">
        <v>5000</v>
      </c>
      <c r="J19" s="13" t="n">
        <v>5000</v>
      </c>
      <c r="K19" s="13" t="n">
        <v>5000</v>
      </c>
      <c r="L19" s="16">
        <f>SUM(H19:K19)</f>
        <v/>
      </c>
      <c r="M19" s="13" t="n">
        <v>5000</v>
      </c>
      <c r="N19" s="13" t="n">
        <v>6000</v>
      </c>
      <c r="O19" s="13" t="n">
        <v>6000</v>
      </c>
      <c r="P19" s="13" t="n">
        <v>6000</v>
      </c>
      <c r="Q19" s="17">
        <f>SUM(M19:P19)</f>
        <v/>
      </c>
      <c r="R19" s="18">
        <f>G19+L19+Q19</f>
        <v/>
      </c>
    </row>
    <row r="20" ht="20" customHeight="1">
      <c r="A20" s="24" t="inlineStr"/>
      <c r="B20" s="25" t="inlineStr">
        <is>
          <t>Development Subtotal</t>
        </is>
      </c>
      <c r="C20" s="26">
        <f>SUM(C13:C19)</f>
        <v/>
      </c>
      <c r="D20" s="26">
        <f>SUM(D13:D19)</f>
        <v/>
      </c>
      <c r="E20" s="26">
        <f>SUM(E13:E19)</f>
        <v/>
      </c>
      <c r="F20" s="26">
        <f>SUM(F13:F19)</f>
        <v/>
      </c>
      <c r="G20" s="26">
        <f>SUM(G13:G19)</f>
        <v/>
      </c>
      <c r="H20" s="26">
        <f>SUM(H13:H19)</f>
        <v/>
      </c>
      <c r="I20" s="26">
        <f>SUM(I13:I19)</f>
        <v/>
      </c>
      <c r="J20" s="26">
        <f>SUM(J13:J19)</f>
        <v/>
      </c>
      <c r="K20" s="26">
        <f>SUM(K13:K19)</f>
        <v/>
      </c>
      <c r="L20" s="26">
        <f>SUM(L13:L19)</f>
        <v/>
      </c>
      <c r="M20" s="26">
        <f>SUM(M13:M19)</f>
        <v/>
      </c>
      <c r="N20" s="26">
        <f>SUM(N13:N19)</f>
        <v/>
      </c>
      <c r="O20" s="26">
        <f>SUM(O13:O19)</f>
        <v/>
      </c>
      <c r="P20" s="26">
        <f>SUM(P13:P19)</f>
        <v/>
      </c>
      <c r="Q20" s="26">
        <f>SUM(Q13:Q19)</f>
        <v/>
      </c>
      <c r="R20" s="27">
        <f>G20+L20+Q20</f>
        <v/>
      </c>
    </row>
    <row r="21" ht="18" customHeight="1">
      <c r="A21" s="11" t="inlineStr">
        <is>
          <t>SOLUTION PROMOTION</t>
        </is>
      </c>
      <c r="B21" s="12" t="inlineStr">
        <is>
          <t>Farmer Training &amp; Capacity Building</t>
        </is>
      </c>
      <c r="C21" s="14" t="n">
        <v>0</v>
      </c>
      <c r="D21" s="14" t="n">
        <v>0</v>
      </c>
      <c r="E21" s="13" t="n">
        <v>3000</v>
      </c>
      <c r="F21" s="13" t="n">
        <v>3000</v>
      </c>
      <c r="G21" s="15">
        <f>SUM(C21:F21)</f>
        <v/>
      </c>
      <c r="H21" s="13" t="n">
        <v>3000</v>
      </c>
      <c r="I21" s="13" t="n">
        <v>3000</v>
      </c>
      <c r="J21" s="13" t="n">
        <v>3000</v>
      </c>
      <c r="K21" s="13" t="n">
        <v>2000</v>
      </c>
      <c r="L21" s="16">
        <f>SUM(H21:K21)</f>
        <v/>
      </c>
      <c r="M21" s="13" t="n">
        <v>3000</v>
      </c>
      <c r="N21" s="13" t="n">
        <v>3000</v>
      </c>
      <c r="O21" s="13" t="n">
        <v>2000</v>
      </c>
      <c r="P21" s="13" t="n">
        <v>2000</v>
      </c>
      <c r="Q21" s="17">
        <f>SUM(M21:P21)</f>
        <v/>
      </c>
      <c r="R21" s="18">
        <f>G21+L21+Q21</f>
        <v/>
      </c>
    </row>
    <row r="22" ht="18" customHeight="1">
      <c r="A22" s="19" t="inlineStr"/>
      <c r="B22" s="20" t="inlineStr">
        <is>
          <t>Stakeholder Engagement &amp; Live Demos</t>
        </is>
      </c>
      <c r="C22" s="21" t="n">
        <v>1000</v>
      </c>
      <c r="D22" s="21" t="n">
        <v>2000</v>
      </c>
      <c r="E22" s="21" t="n">
        <v>2000</v>
      </c>
      <c r="F22" s="21" t="n">
        <v>1000</v>
      </c>
      <c r="G22" s="15">
        <f>SUM(C22:F22)</f>
        <v/>
      </c>
      <c r="H22" s="21" t="n">
        <v>2000</v>
      </c>
      <c r="I22" s="21" t="n">
        <v>2000</v>
      </c>
      <c r="J22" s="21" t="n">
        <v>3000</v>
      </c>
      <c r="K22" s="21" t="n">
        <v>2000</v>
      </c>
      <c r="L22" s="16">
        <f>SUM(H22:K22)</f>
        <v/>
      </c>
      <c r="M22" s="21" t="n">
        <v>2000</v>
      </c>
      <c r="N22" s="21" t="n">
        <v>2000</v>
      </c>
      <c r="O22" s="21" t="n">
        <v>2000</v>
      </c>
      <c r="P22" s="21" t="n">
        <v>2000</v>
      </c>
      <c r="Q22" s="17">
        <f>SUM(M22:P22)</f>
        <v/>
      </c>
      <c r="R22" s="18">
        <f>G22+L22+Q22</f>
        <v/>
      </c>
    </row>
    <row r="23" ht="18" customHeight="1">
      <c r="A23" s="23" t="inlineStr"/>
      <c r="B23" s="12" t="inlineStr">
        <is>
          <t>NDC / GHG Impact Reports &amp; Publications</t>
        </is>
      </c>
      <c r="C23" s="14" t="n">
        <v>0</v>
      </c>
      <c r="D23" s="14" t="n">
        <v>0</v>
      </c>
      <c r="E23" s="13" t="n">
        <v>2000</v>
      </c>
      <c r="F23" s="13" t="n">
        <v>3000</v>
      </c>
      <c r="G23" s="15">
        <f>SUM(C23:F23)</f>
        <v/>
      </c>
      <c r="H23" s="13" t="n">
        <v>2000</v>
      </c>
      <c r="I23" s="13" t="n">
        <v>2000</v>
      </c>
      <c r="J23" s="13" t="n">
        <v>3000</v>
      </c>
      <c r="K23" s="13" t="n">
        <v>2000</v>
      </c>
      <c r="L23" s="16">
        <f>SUM(H23:K23)</f>
        <v/>
      </c>
      <c r="M23" s="13" t="n">
        <v>3000</v>
      </c>
      <c r="N23" s="13" t="n">
        <v>3000</v>
      </c>
      <c r="O23" s="13" t="n">
        <v>2000</v>
      </c>
      <c r="P23" s="13" t="n">
        <v>2000</v>
      </c>
      <c r="Q23" s="17">
        <f>SUM(M23:P23)</f>
        <v/>
      </c>
      <c r="R23" s="18">
        <f>G23+L23+Q23</f>
        <v/>
      </c>
    </row>
    <row r="24" ht="18" customHeight="1">
      <c r="A24" s="19" t="inlineStr"/>
      <c r="B24" s="20" t="inlineStr">
        <is>
          <t>Marketing, Branding &amp; Conferences</t>
        </is>
      </c>
      <c r="C24" s="21" t="n">
        <v>2000</v>
      </c>
      <c r="D24" s="21" t="n">
        <v>2000</v>
      </c>
      <c r="E24" s="21" t="n">
        <v>3000</v>
      </c>
      <c r="F24" s="21" t="n">
        <v>2000</v>
      </c>
      <c r="G24" s="15">
        <f>SUM(C24:F24)</f>
        <v/>
      </c>
      <c r="H24" s="21" t="n">
        <v>3000</v>
      </c>
      <c r="I24" s="21" t="n">
        <v>3000</v>
      </c>
      <c r="J24" s="21" t="n">
        <v>2000</v>
      </c>
      <c r="K24" s="21" t="n">
        <v>3000</v>
      </c>
      <c r="L24" s="16">
        <f>SUM(H24:K24)</f>
        <v/>
      </c>
      <c r="M24" s="21" t="n">
        <v>3000</v>
      </c>
      <c r="N24" s="21" t="n">
        <v>3000</v>
      </c>
      <c r="O24" s="21" t="n">
        <v>3000</v>
      </c>
      <c r="P24" s="21" t="n">
        <v>3000</v>
      </c>
      <c r="Q24" s="17">
        <f>SUM(M24:P24)</f>
        <v/>
      </c>
      <c r="R24" s="18">
        <f>G24+L24+Q24</f>
        <v/>
      </c>
    </row>
    <row r="25" ht="18" customHeight="1">
      <c r="A25" s="23" t="inlineStr"/>
      <c r="B25" s="12" t="inlineStr">
        <is>
          <t>Partnership Dev &amp; Green Fund Applications</t>
        </is>
      </c>
      <c r="C25" s="13" t="n">
        <v>2000</v>
      </c>
      <c r="D25" s="13" t="n">
        <v>3000</v>
      </c>
      <c r="E25" s="13" t="n">
        <v>3000</v>
      </c>
      <c r="F25" s="13" t="n">
        <v>4000</v>
      </c>
      <c r="G25" s="15">
        <f>SUM(C25:F25)</f>
        <v/>
      </c>
      <c r="H25" s="13" t="n">
        <v>3000</v>
      </c>
      <c r="I25" s="13" t="n">
        <v>3000</v>
      </c>
      <c r="J25" s="13" t="n">
        <v>4000</v>
      </c>
      <c r="K25" s="13" t="n">
        <v>4000</v>
      </c>
      <c r="L25" s="16">
        <f>SUM(H25:K25)</f>
        <v/>
      </c>
      <c r="M25" s="13" t="n">
        <v>3000</v>
      </c>
      <c r="N25" s="13" t="n">
        <v>4000</v>
      </c>
      <c r="O25" s="13" t="n">
        <v>4000</v>
      </c>
      <c r="P25" s="13" t="n">
        <v>4000</v>
      </c>
      <c r="Q25" s="17">
        <f>SUM(M25:P25)</f>
        <v/>
      </c>
      <c r="R25" s="18">
        <f>G25+L25+Q25</f>
        <v/>
      </c>
    </row>
    <row r="26" ht="18" customHeight="1">
      <c r="A26" s="19" t="inlineStr"/>
      <c r="B26" s="20" t="inlineStr">
        <is>
          <t>Monitoring &amp; Evaluation (M&amp;E)</t>
        </is>
      </c>
      <c r="C26" s="21" t="n">
        <v>1000</v>
      </c>
      <c r="D26" s="22" t="n">
        <v>0</v>
      </c>
      <c r="E26" s="21" t="n">
        <v>1000</v>
      </c>
      <c r="F26" s="21" t="n">
        <v>3000</v>
      </c>
      <c r="G26" s="15">
        <f>SUM(C26:F26)</f>
        <v/>
      </c>
      <c r="H26" s="21" t="n">
        <v>1000</v>
      </c>
      <c r="I26" s="21" t="n">
        <v>2000</v>
      </c>
      <c r="J26" s="21" t="n">
        <v>2000</v>
      </c>
      <c r="K26" s="21" t="n">
        <v>3000</v>
      </c>
      <c r="L26" s="16">
        <f>SUM(H26:K26)</f>
        <v/>
      </c>
      <c r="M26" s="21" t="n">
        <v>1000</v>
      </c>
      <c r="N26" s="21" t="n">
        <v>3000</v>
      </c>
      <c r="O26" s="21" t="n">
        <v>4000</v>
      </c>
      <c r="P26" s="21" t="n">
        <v>2000</v>
      </c>
      <c r="Q26" s="17">
        <f>SUM(M26:P26)</f>
        <v/>
      </c>
      <c r="R26" s="18">
        <f>G26+L26+Q26</f>
        <v/>
      </c>
    </row>
    <row r="27" ht="20" customHeight="1">
      <c r="A27" s="24" t="inlineStr"/>
      <c r="B27" s="25" t="inlineStr">
        <is>
          <t>Promotion Subtotal</t>
        </is>
      </c>
      <c r="C27" s="26">
        <f>SUM(C21:C26)</f>
        <v/>
      </c>
      <c r="D27" s="26">
        <f>SUM(D21:D26)</f>
        <v/>
      </c>
      <c r="E27" s="26">
        <f>SUM(E21:E26)</f>
        <v/>
      </c>
      <c r="F27" s="26">
        <f>SUM(F21:F26)</f>
        <v/>
      </c>
      <c r="G27" s="26">
        <f>SUM(G21:G26)</f>
        <v/>
      </c>
      <c r="H27" s="26">
        <f>SUM(H21:H26)</f>
        <v/>
      </c>
      <c r="I27" s="26">
        <f>SUM(I21:I26)</f>
        <v/>
      </c>
      <c r="J27" s="26">
        <f>SUM(J21:J26)</f>
        <v/>
      </c>
      <c r="K27" s="26">
        <f>SUM(K21:K26)</f>
        <v/>
      </c>
      <c r="L27" s="26">
        <f>SUM(L21:L26)</f>
        <v/>
      </c>
      <c r="M27" s="26">
        <f>SUM(M21:M26)</f>
        <v/>
      </c>
      <c r="N27" s="26">
        <f>SUM(N21:N26)</f>
        <v/>
      </c>
      <c r="O27" s="26">
        <f>SUM(O21:O26)</f>
        <v/>
      </c>
      <c r="P27" s="26">
        <f>SUM(P21:P26)</f>
        <v/>
      </c>
      <c r="Q27" s="26">
        <f>SUM(Q21:Q26)</f>
        <v/>
      </c>
      <c r="R27" s="27">
        <f>G27+L27+Q27</f>
        <v/>
      </c>
    </row>
    <row r="28" ht="26" customHeight="1">
      <c r="A28" s="28" t="inlineStr">
        <is>
          <t>QUARTERLY TOTALS</t>
        </is>
      </c>
      <c r="B28" s="29" t="n"/>
      <c r="C28" s="30">
        <f>C12+C20+C27</f>
        <v/>
      </c>
      <c r="D28" s="30">
        <f>D12+D20+D27</f>
        <v/>
      </c>
      <c r="E28" s="30">
        <f>E12+E20+E27</f>
        <v/>
      </c>
      <c r="F28" s="30">
        <f>F12+F20+F27</f>
        <v/>
      </c>
      <c r="G28" s="30">
        <f>G12+G20+G27</f>
        <v/>
      </c>
      <c r="H28" s="30">
        <f>H12+H20+H27</f>
        <v/>
      </c>
      <c r="I28" s="30">
        <f>I12+I20+I27</f>
        <v/>
      </c>
      <c r="J28" s="30">
        <f>J12+J20+J27</f>
        <v/>
      </c>
      <c r="K28" s="30">
        <f>K12+K20+K27</f>
        <v/>
      </c>
      <c r="L28" s="30">
        <f>L12+L20+L27</f>
        <v/>
      </c>
      <c r="M28" s="30">
        <f>M12+M20+M27</f>
        <v/>
      </c>
      <c r="N28" s="30">
        <f>N12+N20+N27</f>
        <v/>
      </c>
      <c r="O28" s="30">
        <f>O12+O20+O27</f>
        <v/>
      </c>
      <c r="P28" s="30">
        <f>P12+P20+P27</f>
        <v/>
      </c>
      <c r="Q28" s="30">
        <f>Q12+Q20+Q27</f>
        <v/>
      </c>
      <c r="R28" s="31">
        <f>R12+R20+R27</f>
        <v/>
      </c>
    </row>
    <row r="29" ht="4" customHeight="1"/>
    <row r="30">
      <c r="A30" s="32" t="inlineStr">
        <is>
          <t>ANNUAL TOTALS</t>
        </is>
      </c>
      <c r="B30" s="33" t="n"/>
      <c r="C30" s="34" t="n"/>
      <c r="D30" s="34" t="n"/>
      <c r="E30" s="34" t="n"/>
      <c r="F30" s="34" t="n"/>
      <c r="G30" s="35">
        <f>G28</f>
        <v/>
      </c>
      <c r="H30" s="34" t="n"/>
      <c r="I30" s="34" t="n"/>
      <c r="J30" s="34" t="n"/>
      <c r="K30" s="34" t="n"/>
      <c r="L30" s="35">
        <f>L28</f>
        <v/>
      </c>
      <c r="M30" s="34" t="n"/>
      <c r="N30" s="34" t="n"/>
      <c r="O30" s="34" t="n"/>
      <c r="P30" s="34" t="n"/>
      <c r="Q30" s="35">
        <f>Q28</f>
        <v/>
      </c>
      <c r="R30" s="36">
        <f>R28</f>
        <v/>
      </c>
    </row>
  </sheetData>
  <mergeCells count="11">
    <mergeCell ref="A5:A6"/>
    <mergeCell ref="A3:R3"/>
    <mergeCell ref="A30:B30"/>
    <mergeCell ref="R5:R6"/>
    <mergeCell ref="A2:R2"/>
    <mergeCell ref="A28:B28"/>
    <mergeCell ref="C5:G5"/>
    <mergeCell ref="A1:R1"/>
    <mergeCell ref="H5:L5"/>
    <mergeCell ref="M5:Q5"/>
    <mergeCell ref="B5:B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16" customWidth="1" min="4" max="4"/>
    <col width="16" customWidth="1" min="5" max="5"/>
  </cols>
  <sheetData>
    <row r="1" ht="30" customHeight="1">
      <c r="A1" s="37" t="inlineStr">
        <is>
          <t>MooMe — Hardware Component Budget (Prototype)</t>
        </is>
      </c>
      <c r="B1" s="2" t="n"/>
      <c r="C1" s="2" t="n"/>
      <c r="D1" s="2" t="n"/>
      <c r="E1" s="2" t="n"/>
    </row>
    <row r="2">
      <c r="A2" s="38" t="inlineStr">
        <is>
          <t>Prices in USD — Included in the $723,287 Global Budget</t>
        </is>
      </c>
      <c r="B2" s="2" t="n"/>
      <c r="C2" s="2" t="n"/>
      <c r="D2" s="2" t="n"/>
      <c r="E2" s="2" t="n"/>
    </row>
    <row r="3">
      <c r="A3" s="6" t="inlineStr">
        <is>
          <t>#</t>
        </is>
      </c>
      <c r="B3" s="6" t="inlineStr">
        <is>
          <t>Component</t>
        </is>
      </c>
      <c r="C3" s="6" t="inlineStr">
        <is>
          <t>Qty</t>
        </is>
      </c>
      <c r="D3" s="6" t="inlineStr">
        <is>
          <t>Unit Price (USD)</t>
        </is>
      </c>
      <c r="E3" s="6" t="inlineStr">
        <is>
          <t>Total (USD)</t>
        </is>
      </c>
    </row>
    <row r="4">
      <c r="A4" s="39" t="n">
        <v>1</v>
      </c>
      <c r="B4" s="40" t="inlineStr">
        <is>
          <t>Raspberry Pi 4/5</t>
        </is>
      </c>
      <c r="C4" s="41" t="n">
        <v>1</v>
      </c>
      <c r="D4" s="42" t="n">
        <v>102</v>
      </c>
      <c r="E4" s="43">
        <f>C4*D4</f>
        <v/>
      </c>
    </row>
    <row r="5">
      <c r="A5" s="44" t="n">
        <v>2</v>
      </c>
      <c r="B5" s="45" t="inlineStr">
        <is>
          <t>MicroSD Card (64GB)</t>
        </is>
      </c>
      <c r="C5" s="46" t="n">
        <v>1</v>
      </c>
      <c r="D5" s="47" t="n">
        <v>13</v>
      </c>
      <c r="E5" s="48">
        <f>C5*D5</f>
        <v/>
      </c>
    </row>
    <row r="6">
      <c r="A6" s="39" t="n">
        <v>3</v>
      </c>
      <c r="B6" s="40" t="inlineStr">
        <is>
          <t>Power Supply</t>
        </is>
      </c>
      <c r="C6" s="41" t="n">
        <v>1</v>
      </c>
      <c r="D6" s="42" t="n">
        <v>9</v>
      </c>
      <c r="E6" s="43">
        <f>C6*D6</f>
        <v/>
      </c>
    </row>
    <row r="7">
      <c r="A7" s="44" t="n">
        <v>4</v>
      </c>
      <c r="B7" s="45" t="inlineStr">
        <is>
          <t>Non-contact Temp Sensor (IR)</t>
        </is>
      </c>
      <c r="C7" s="46" t="n">
        <v>12</v>
      </c>
      <c r="D7" s="47" t="n">
        <v>17</v>
      </c>
      <c r="E7" s="48">
        <f>C7*D7</f>
        <v/>
      </c>
    </row>
    <row r="8">
      <c r="A8" s="39" t="n">
        <v>5</v>
      </c>
      <c r="B8" s="40" t="inlineStr">
        <is>
          <t>DHT22 Sensor</t>
        </is>
      </c>
      <c r="C8" s="41" t="n">
        <v>2</v>
      </c>
      <c r="D8" s="42" t="n">
        <v>7</v>
      </c>
      <c r="E8" s="43">
        <f>C8*D8</f>
        <v/>
      </c>
    </row>
    <row r="9">
      <c r="A9" s="44" t="n">
        <v>6</v>
      </c>
      <c r="B9" s="45" t="inlineStr">
        <is>
          <t>Air Quality Sensor (MQ-135)</t>
        </is>
      </c>
      <c r="C9" s="46" t="n">
        <v>1</v>
      </c>
      <c r="D9" s="47" t="n">
        <v>13</v>
      </c>
      <c r="E9" s="48">
        <f>C9*D9</f>
        <v/>
      </c>
    </row>
    <row r="10">
      <c r="A10" s="39" t="n">
        <v>7</v>
      </c>
      <c r="B10" s="40" t="inlineStr">
        <is>
          <t>Oxygen Sensor</t>
        </is>
      </c>
      <c r="C10" s="41" t="n">
        <v>1</v>
      </c>
      <c r="D10" s="42" t="n">
        <v>21</v>
      </c>
      <c r="E10" s="43">
        <f>C10*D10</f>
        <v/>
      </c>
    </row>
    <row r="11">
      <c r="A11" s="44" t="n">
        <v>8</v>
      </c>
      <c r="B11" s="45" t="inlineStr">
        <is>
          <t>RFID Reader Module</t>
        </is>
      </c>
      <c r="C11" s="46" t="n">
        <v>1</v>
      </c>
      <c r="D11" s="47" t="n">
        <v>15</v>
      </c>
      <c r="E11" s="48">
        <f>C11*D11</f>
        <v/>
      </c>
    </row>
    <row r="12">
      <c r="A12" s="39" t="n">
        <v>9</v>
      </c>
      <c r="B12" s="40" t="inlineStr">
        <is>
          <t>RFID Tags</t>
        </is>
      </c>
      <c r="C12" s="41" t="n">
        <v>12</v>
      </c>
      <c r="D12" s="42" t="n">
        <v>2</v>
      </c>
      <c r="E12" s="43">
        <f>C12*D12</f>
        <v/>
      </c>
    </row>
    <row r="13">
      <c r="A13" s="44" t="n">
        <v>10</v>
      </c>
      <c r="B13" s="45" t="inlineStr">
        <is>
          <t>Water Flow Sensor</t>
        </is>
      </c>
      <c r="C13" s="46" t="n">
        <v>12</v>
      </c>
      <c r="D13" s="47" t="n">
        <v>9</v>
      </c>
      <c r="E13" s="48">
        <f>C13*D13</f>
        <v/>
      </c>
    </row>
    <row r="14">
      <c r="A14" s="39" t="n">
        <v>11</v>
      </c>
      <c r="B14" s="40" t="inlineStr">
        <is>
          <t>Load Cell + HX711</t>
        </is>
      </c>
      <c r="C14" s="41" t="n">
        <v>12</v>
      </c>
      <c r="D14" s="42" t="n">
        <v>13</v>
      </c>
      <c r="E14" s="43">
        <f>C14*D14</f>
        <v/>
      </c>
    </row>
    <row r="15">
      <c r="A15" s="44" t="n">
        <v>12</v>
      </c>
      <c r="B15" s="45" t="inlineStr">
        <is>
          <t>Smart Milk Meter</t>
        </is>
      </c>
      <c r="C15" s="46" t="n">
        <v>12</v>
      </c>
      <c r="D15" s="47" t="n">
        <v>51</v>
      </c>
      <c r="E15" s="48">
        <f>C15*D15</f>
        <v/>
      </c>
    </row>
    <row r="16">
      <c r="A16" s="39" t="n">
        <v>13</v>
      </c>
      <c r="B16" s="40" t="inlineStr">
        <is>
          <t>DC Water Pump</t>
        </is>
      </c>
      <c r="C16" s="41" t="n">
        <v>12</v>
      </c>
      <c r="D16" s="42" t="n">
        <v>17</v>
      </c>
      <c r="E16" s="43">
        <f>C16*D16</f>
        <v/>
      </c>
    </row>
    <row r="17">
      <c r="A17" s="44" t="n">
        <v>14</v>
      </c>
      <c r="B17" s="45" t="inlineStr">
        <is>
          <t>Fans (Cooling)</t>
        </is>
      </c>
      <c r="C17" s="46" t="n">
        <v>4</v>
      </c>
      <c r="D17" s="47" t="n">
        <v>21</v>
      </c>
      <c r="E17" s="48">
        <f>C17*D17</f>
        <v/>
      </c>
    </row>
    <row r="18">
      <c r="A18" s="39" t="n">
        <v>15</v>
      </c>
      <c r="B18" s="40" t="inlineStr">
        <is>
          <t>Relay Modules</t>
        </is>
      </c>
      <c r="C18" s="41" t="n">
        <v>5</v>
      </c>
      <c r="D18" s="42" t="n">
        <v>7</v>
      </c>
      <c r="E18" s="43">
        <f>C18*D18</f>
        <v/>
      </c>
    </row>
    <row r="19">
      <c r="A19" s="44" t="n">
        <v>16</v>
      </c>
      <c r="B19" s="45" t="inlineStr">
        <is>
          <t>Motor (Feed Dispenser)</t>
        </is>
      </c>
      <c r="C19" s="46" t="n">
        <v>12</v>
      </c>
      <c r="D19" s="47" t="n">
        <v>15</v>
      </c>
      <c r="E19" s="48">
        <f>C19*D19</f>
        <v/>
      </c>
    </row>
    <row r="20">
      <c r="A20" s="39" t="n">
        <v>17</v>
      </c>
      <c r="B20" s="40" t="inlineStr">
        <is>
          <t>Pipes &amp; Spray Nozzles</t>
        </is>
      </c>
      <c r="C20" s="41" t="n">
        <v>1</v>
      </c>
      <c r="D20" s="42" t="n">
        <v>51</v>
      </c>
      <c r="E20" s="43">
        <f>C20*D20</f>
        <v/>
      </c>
    </row>
    <row r="21">
      <c r="A21" s="44" t="n">
        <v>18</v>
      </c>
      <c r="B21" s="45" t="inlineStr">
        <is>
          <t>GSM Module (SIM800L)</t>
        </is>
      </c>
      <c r="C21" s="46" t="n">
        <v>1</v>
      </c>
      <c r="D21" s="47" t="n">
        <v>13</v>
      </c>
      <c r="E21" s="48">
        <f>C21*D21</f>
        <v/>
      </c>
    </row>
    <row r="22">
      <c r="A22" s="39" t="n">
        <v>19</v>
      </c>
      <c r="B22" s="40" t="inlineStr">
        <is>
          <t>Wi-Fi Router</t>
        </is>
      </c>
      <c r="C22" s="41" t="n">
        <v>1</v>
      </c>
      <c r="D22" s="42" t="n">
        <v>30</v>
      </c>
      <c r="E22" s="43">
        <f>C22*D22</f>
        <v/>
      </c>
    </row>
    <row r="23">
      <c r="A23" s="44" t="n">
        <v>20</v>
      </c>
      <c r="B23" s="45" t="inlineStr">
        <is>
          <t>Solar Panel (200W)</t>
        </is>
      </c>
      <c r="C23" s="46" t="n">
        <v>1</v>
      </c>
      <c r="D23" s="47" t="n">
        <v>128</v>
      </c>
      <c r="E23" s="48">
        <f>C23*D23</f>
        <v/>
      </c>
    </row>
    <row r="24">
      <c r="A24" s="39" t="n">
        <v>21</v>
      </c>
      <c r="B24" s="40" t="inlineStr">
        <is>
          <t>Battery (100Ah)</t>
        </is>
      </c>
      <c r="C24" s="41" t="n">
        <v>1</v>
      </c>
      <c r="D24" s="42" t="n">
        <v>153</v>
      </c>
      <c r="E24" s="43">
        <f>C24*D24</f>
        <v/>
      </c>
    </row>
    <row r="25">
      <c r="A25" s="44" t="n">
        <v>22</v>
      </c>
      <c r="B25" s="45" t="inlineStr">
        <is>
          <t>Charge Controller</t>
        </is>
      </c>
      <c r="C25" s="46" t="n">
        <v>1</v>
      </c>
      <c r="D25" s="47" t="n">
        <v>34</v>
      </c>
      <c r="E25" s="48">
        <f>C25*D25</f>
        <v/>
      </c>
    </row>
    <row r="26">
      <c r="A26" s="39" t="n">
        <v>23</v>
      </c>
      <c r="B26" s="40" t="inlineStr">
        <is>
          <t>Inverter</t>
        </is>
      </c>
      <c r="C26" s="41" t="n">
        <v>1</v>
      </c>
      <c r="D26" s="42" t="n">
        <v>68</v>
      </c>
      <c r="E26" s="43">
        <f>C26*D26</f>
        <v/>
      </c>
    </row>
    <row r="27">
      <c r="A27" s="44" t="n">
        <v>24</v>
      </c>
      <c r="B27" s="45" t="inlineStr">
        <is>
          <t>Wires &amp; Installation</t>
        </is>
      </c>
      <c r="C27" s="46" t="n">
        <v>1</v>
      </c>
      <c r="D27" s="47" t="n">
        <v>39</v>
      </c>
      <c r="E27" s="48">
        <f>C27*D27</f>
        <v/>
      </c>
    </row>
    <row r="28">
      <c r="A28" s="28" t="inlineStr">
        <is>
          <t>TOTAL HARDWARE COST</t>
        </is>
      </c>
      <c r="B28" s="49" t="n"/>
      <c r="C28" s="49" t="n"/>
      <c r="D28" s="29" t="n"/>
      <c r="E28" s="31">
        <f>SUM(E4:E27)</f>
        <v/>
      </c>
    </row>
  </sheetData>
  <mergeCells count="3">
    <mergeCell ref="A2:E2"/>
    <mergeCell ref="A28:D28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</cols>
  <sheetData>
    <row r="1" ht="30" customHeight="1">
      <c r="A1" s="37" t="inlineStr">
        <is>
          <t>MooMe — 3-Year Budget Summary</t>
        </is>
      </c>
      <c r="B1" s="2" t="n"/>
      <c r="C1" s="2" t="n"/>
      <c r="D1" s="2" t="n"/>
      <c r="E1" s="2" t="n"/>
      <c r="F1" s="2" t="n"/>
    </row>
    <row r="2" ht="4" customHeight="1"/>
    <row r="3">
      <c r="A3" s="6" t="inlineStr">
        <is>
          <t>Category</t>
        </is>
      </c>
      <c r="B3" s="6" t="inlineStr">
        <is>
          <t>Year 1 (USD)</t>
        </is>
      </c>
      <c r="C3" s="6" t="inlineStr">
        <is>
          <t>Year 2 (USD)</t>
        </is>
      </c>
      <c r="D3" s="6" t="inlineStr">
        <is>
          <t>Year 3 (USD)</t>
        </is>
      </c>
      <c r="E3" s="6" t="inlineStr">
        <is>
          <t>Total (USD)</t>
        </is>
      </c>
      <c r="F3" s="6" t="inlineStr">
        <is>
          <t>% of Total</t>
        </is>
      </c>
    </row>
    <row r="4">
      <c r="A4" s="50" t="inlineStr">
        <is>
          <t>Solution Design</t>
        </is>
      </c>
      <c r="B4" s="42">
        <f>'Quarterly Budget Logframe'!G12</f>
        <v/>
      </c>
      <c r="C4" s="42">
        <f>'Quarterly Budget Logframe'!L12</f>
        <v/>
      </c>
      <c r="D4" s="42">
        <f>'Quarterly Budget Logframe'!Q12</f>
        <v/>
      </c>
      <c r="E4" s="51">
        <f>'Quarterly Budget Logframe'!R12</f>
        <v/>
      </c>
      <c r="F4" s="52">
        <f>IF(E$7=0,"",E4/E$7)</f>
        <v/>
      </c>
    </row>
    <row r="5">
      <c r="A5" s="53" t="inlineStr">
        <is>
          <t>Solution Development</t>
        </is>
      </c>
      <c r="B5" s="47">
        <f>'Quarterly Budget Logframe'!G20</f>
        <v/>
      </c>
      <c r="C5" s="47">
        <f>'Quarterly Budget Logframe'!L20</f>
        <v/>
      </c>
      <c r="D5" s="47">
        <f>'Quarterly Budget Logframe'!Q20</f>
        <v/>
      </c>
      <c r="E5" s="54">
        <f>'Quarterly Budget Logframe'!R20</f>
        <v/>
      </c>
      <c r="F5" s="55">
        <f>IF(E$7=0,"",E5/E$7)</f>
        <v/>
      </c>
    </row>
    <row r="6">
      <c r="A6" s="50" t="inlineStr">
        <is>
          <t>Solution Promotion</t>
        </is>
      </c>
      <c r="B6" s="42">
        <f>'Quarterly Budget Logframe'!G27</f>
        <v/>
      </c>
      <c r="C6" s="42">
        <f>'Quarterly Budget Logframe'!L27</f>
        <v/>
      </c>
      <c r="D6" s="42">
        <f>'Quarterly Budget Logframe'!Q27</f>
        <v/>
      </c>
      <c r="E6" s="51">
        <f>'Quarterly Budget Logframe'!R27</f>
        <v/>
      </c>
      <c r="F6" s="52">
        <f>IF(E$7=0,"",E6/E$7)</f>
        <v/>
      </c>
    </row>
    <row r="7">
      <c r="A7" s="56" t="inlineStr">
        <is>
          <t>GRAND TOTAL</t>
        </is>
      </c>
      <c r="B7" s="57">
        <f>SUM(B4:B6)</f>
        <v/>
      </c>
      <c r="C7" s="57">
        <f>SUM(C4:C6)</f>
        <v/>
      </c>
      <c r="D7" s="57">
        <f>SUM(D4:D6)</f>
        <v/>
      </c>
      <c r="E7" s="57">
        <f>SUM(E4:E6)</f>
        <v/>
      </c>
      <c r="F7" s="58">
        <f>SUM(F4:F6)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2026-04-08T04:57:46Z</dcterms:created>
  <dcterms:modified xmlns:dcterms="http://purl.org/dc/terms/" xmlns:xsi="http://www.w3.org/2001/XMLSchema-instance" xsi:type="dcterms:W3CDTF">2026-04-08T04:57:46Z</dcterms:modified>
</cp:coreProperties>
</file>