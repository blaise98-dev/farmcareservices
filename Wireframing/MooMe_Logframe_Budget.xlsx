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 Budget" sheetId="1" state="visible" r:id="rId1"/>
    <sheet xmlns:r="http://schemas.openxmlformats.org/officeDocument/2006/relationships" name="Hardware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6">
    <font>
      <name val="Calibri"/>
      <family val="2"/>
      <color theme="1"/>
      <sz val="11"/>
      <scheme val="minor"/>
    </font>
    <font>
      <b val="1"/>
      <color rgb="002D5016"/>
      <sz val="14"/>
    </font>
    <font>
      <color rgb="004E4E3A"/>
      <sz val="11"/>
    </font>
    <font>
      <color rgb="007A7A62"/>
      <sz val="10"/>
    </font>
    <font>
      <b val="1"/>
      <color rgb="00FFFFFF"/>
      <sz val="10"/>
    </font>
    <font>
      <b val="1"/>
      <color rgb="00FFFFFF"/>
      <sz val="9"/>
    </font>
    <font>
      <b val="1"/>
      <sz val="10"/>
    </font>
    <font>
      <name val="Consolas"/>
      <sz val="9"/>
    </font>
    <font>
      <name val="Consolas"/>
      <b val="1"/>
      <color rgb="002D5016"/>
      <sz val="9"/>
    </font>
    <font>
      <name val="Consolas"/>
      <b val="1"/>
      <color rgb="00E65100"/>
      <sz val="10"/>
    </font>
    <font>
      <color rgb="004E4E3A"/>
      <sz val="9"/>
    </font>
    <font>
      <b val="1"/>
      <color rgb="002D5016"/>
      <sz val="9"/>
    </font>
    <font>
      <b val="1"/>
      <color rgb="002D5016"/>
      <sz val="8"/>
    </font>
    <font>
      <name val="Consolas"/>
      <b val="1"/>
      <color rgb="00FFFFFF"/>
      <sz val="9"/>
    </font>
    <font>
      <name val="Consolas"/>
      <b val="1"/>
      <color rgb="00F9A825"/>
      <sz val="10"/>
    </font>
    <font>
      <name val="Consolas"/>
      <b val="1"/>
      <color rgb="00F9A825"/>
      <sz val="12"/>
    </font>
    <font>
      <b val="1"/>
      <color rgb="002D5016"/>
      <sz val="10"/>
    </font>
    <font>
      <b val="1"/>
      <color rgb="00E65100"/>
      <sz val="12"/>
    </font>
    <font>
      <color rgb="007A7A62"/>
      <sz val="9"/>
    </font>
    <font>
      <sz val="9"/>
    </font>
    <font>
      <b val="1"/>
      <sz val="9"/>
    </font>
    <font>
      <name val="Consolas"/>
      <b val="1"/>
      <sz val="9"/>
    </font>
    <font>
      <name val="Consolas"/>
      <color rgb="007A7A62"/>
      <sz val="9"/>
    </font>
    <font>
      <b val="1"/>
      <color rgb="00FFFFFF"/>
      <sz val="11"/>
    </font>
    <font>
      <name val="Consolas"/>
      <b val="1"/>
      <color rgb="00F9A825"/>
      <sz val="11"/>
    </font>
    <font>
      <i val="1"/>
      <color rgb="007A7A62"/>
      <sz val="9"/>
    </font>
  </fonts>
  <fills count="9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1A1A0E"/>
        <bgColor rgb="001A1A0E"/>
      </patternFill>
    </fill>
    <fill>
      <patternFill patternType="solid">
        <fgColor rgb="00E8F0DD"/>
        <bgColor rgb="00E8F0DD"/>
      </patternFill>
    </fill>
    <fill>
      <patternFill patternType="solid">
        <fgColor rgb="00FFF8E1"/>
        <bgColor rgb="00FFF8E1"/>
      </patternFill>
    </fill>
    <fill>
      <patternFill patternType="solid">
        <fgColor rgb="00F0F4E8"/>
        <bgColor rgb="00F0F4E8"/>
      </patternFill>
    </fill>
    <fill>
      <patternFill patternType="solid">
        <fgColor rgb="00E8F5E9"/>
        <bgColor rgb="00E8F5E9"/>
      </patternFill>
    </fill>
    <fill>
      <patternFill patternType="solid">
        <fgColor rgb="00F5F9F0"/>
        <bgColor rgb="00F5F9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0" fillId="0" borderId="3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6" borderId="1" pivotButton="0" quotePrefix="0" xfId="0"/>
    <xf numFmtId="0" fontId="11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4" fontId="15" fillId="3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3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3" fontId="22" fillId="8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164" fontId="21" fillId="0" borderId="1" applyAlignment="1" pivotButton="0" quotePrefix="0" xfId="0">
      <alignment horizontal="right" vertical="center"/>
    </xf>
    <xf numFmtId="3" fontId="22" fillId="0" borderId="1" applyAlignment="1" pivotButton="0" quotePrefix="0" xfId="0">
      <alignment horizontal="right" vertical="center"/>
    </xf>
    <xf numFmtId="0" fontId="23" fillId="2" borderId="1" applyAlignment="1" pivotButton="0" quotePrefix="0" xfId="0">
      <alignment horizontal="right" vertical="center"/>
    </xf>
    <xf numFmtId="0" fontId="0" fillId="2" borderId="1" pivotButton="0" quotePrefix="0" xfId="0"/>
    <xf numFmtId="164" fontId="15" fillId="2" borderId="1" applyAlignment="1" pivotButton="0" quotePrefix="0" xfId="0">
      <alignment horizontal="right" vertical="center"/>
    </xf>
    <xf numFmtId="3" fontId="24" fillId="2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3" customWidth="1" min="17" max="17"/>
    <col width="14" customWidth="1" min="18" max="18"/>
  </cols>
  <sheetData>
    <row r="1">
      <c r="A1" s="1" t="inlineStr">
        <is>
          <t>MooMe IoT-AI Livestock Monitoring Platform</t>
        </is>
      </c>
    </row>
    <row r="2">
      <c r="A2" s="2" t="inlineStr">
        <is>
          <t>Logframe: Quarterly Budget Breakdown | Technical Support / IoT (PI/E)</t>
        </is>
      </c>
    </row>
    <row r="3">
      <c r="A3" s="3" t="inlineStr">
        <is>
          <t>Solution Design, Development &amp; Promotion | Grand Total: $723,287 USD across 3 years</t>
        </is>
      </c>
    </row>
    <row r="5" ht="28" customHeight="1">
      <c r="A5" s="4" t="inlineStr">
        <is>
          <t>Category</t>
        </is>
      </c>
      <c r="B5" s="4" t="inlineStr">
        <is>
          <t>Activity / Deliverable</t>
        </is>
      </c>
      <c r="C5" s="5" t="inlineStr">
        <is>
          <t>Year 1: $205,479</t>
        </is>
      </c>
      <c r="G5" s="4" t="inlineStr">
        <is>
          <t>Y1 Total</t>
        </is>
      </c>
      <c r="H5" s="5" t="inlineStr">
        <is>
          <t>Year 2: $246,575</t>
        </is>
      </c>
      <c r="L5" s="4" t="inlineStr">
        <is>
          <t>Y2 Total</t>
        </is>
      </c>
      <c r="M5" s="5" t="inlineStr">
        <is>
          <t>Year 3: $271,233</t>
        </is>
      </c>
      <c r="Q5" s="4" t="inlineStr">
        <is>
          <t>Y3 Total</t>
        </is>
      </c>
      <c r="R5" s="4" t="inlineStr">
        <is>
          <t>Grand Total</t>
        </is>
      </c>
    </row>
    <row r="6" ht="22" customHeight="1">
      <c r="C6" s="6" t="inlineStr">
        <is>
          <t>Q1</t>
        </is>
      </c>
      <c r="D6" s="6" t="inlineStr">
        <is>
          <t>Q2</t>
        </is>
      </c>
      <c r="E6" s="6" t="inlineStr">
        <is>
          <t>Q3</t>
        </is>
      </c>
      <c r="F6" s="6" t="inlineStr">
        <is>
          <t>Q4</t>
        </is>
      </c>
      <c r="H6" s="6" t="inlineStr">
        <is>
          <t>Q1</t>
        </is>
      </c>
      <c r="I6" s="6" t="inlineStr">
        <is>
          <t>Q2</t>
        </is>
      </c>
      <c r="J6" s="6" t="inlineStr">
        <is>
          <t>Q3</t>
        </is>
      </c>
      <c r="K6" s="6" t="inlineStr">
        <is>
          <t>Q4</t>
        </is>
      </c>
      <c r="M6" s="6" t="inlineStr">
        <is>
          <t>Q1</t>
        </is>
      </c>
      <c r="N6" s="6" t="inlineStr">
        <is>
          <t>Q2</t>
        </is>
      </c>
      <c r="O6" s="6" t="inlineStr">
        <is>
          <t>Q3</t>
        </is>
      </c>
      <c r="P6" s="6" t="inlineStr">
        <is>
          <t>Q4</t>
        </is>
      </c>
    </row>
    <row r="7" ht="22" customHeight="1">
      <c r="A7" s="7" t="inlineStr">
        <is>
          <t>SOLUTION
DESIGN</t>
        </is>
      </c>
      <c r="B7" s="8" t="inlineStr">
        <is>
          <t>System Architecture &amp; Requirements</t>
        </is>
      </c>
      <c r="C7" s="9" t="n">
        <v>8000</v>
      </c>
      <c r="D7" s="9" t="n">
        <v>5000</v>
      </c>
      <c r="E7" s="10" t="n"/>
      <c r="F7" s="10" t="n"/>
      <c r="G7" s="11">
        <f>SUM(C7:F7)</f>
        <v/>
      </c>
      <c r="H7" s="9" t="n">
        <v>4000</v>
      </c>
      <c r="I7" s="9" t="n">
        <v>2000</v>
      </c>
      <c r="J7" s="10" t="n"/>
      <c r="K7" s="10" t="n"/>
      <c r="L7" s="11">
        <f>SUM(H7:K7)</f>
        <v/>
      </c>
      <c r="M7" s="9" t="n">
        <v>3000</v>
      </c>
      <c r="N7" s="10" t="n"/>
      <c r="O7" s="10" t="n"/>
      <c r="P7" s="10" t="n"/>
      <c r="Q7" s="11">
        <f>SUM(M7:P7)</f>
        <v/>
      </c>
      <c r="R7" s="12">
        <f>G7+L7+Q7</f>
        <v/>
      </c>
    </row>
    <row r="8" ht="22" customHeight="1">
      <c r="A8" s="13" t="n"/>
      <c r="B8" s="14" t="inlineStr">
        <is>
          <t>IoT Sensor Design &amp; GHG Sensor Spec</t>
        </is>
      </c>
      <c r="C8" s="9" t="n">
        <v>6000</v>
      </c>
      <c r="D8" s="9" t="n">
        <v>5000</v>
      </c>
      <c r="E8" s="9" t="n">
        <v>2000</v>
      </c>
      <c r="F8" s="10" t="n"/>
      <c r="G8" s="11">
        <f>SUM(C8:F8)</f>
        <v/>
      </c>
      <c r="H8" s="9" t="n">
        <v>3000</v>
      </c>
      <c r="I8" s="9" t="n">
        <v>3000</v>
      </c>
      <c r="J8" s="9" t="n">
        <v>2000</v>
      </c>
      <c r="K8" s="10" t="n"/>
      <c r="L8" s="11">
        <f>SUM(H8:K8)</f>
        <v/>
      </c>
      <c r="M8" s="9" t="n">
        <v>3000</v>
      </c>
      <c r="N8" s="9" t="n">
        <v>2000</v>
      </c>
      <c r="O8" s="10" t="n"/>
      <c r="P8" s="10" t="n"/>
      <c r="Q8" s="11">
        <f>SUM(M8:P8)</f>
        <v/>
      </c>
      <c r="R8" s="12">
        <f>G8+L8+Q8</f>
        <v/>
      </c>
    </row>
    <row r="9" ht="22" customHeight="1">
      <c r="A9" s="13" t="n"/>
      <c r="B9" s="14" t="inlineStr">
        <is>
          <t>AI/ML Model Design (Disease, GHG, Yield)</t>
        </is>
      </c>
      <c r="C9" s="9" t="n">
        <v>5000</v>
      </c>
      <c r="D9" s="9" t="n">
        <v>5000</v>
      </c>
      <c r="E9" s="9" t="n">
        <v>3000</v>
      </c>
      <c r="F9" s="9" t="n">
        <v>2000</v>
      </c>
      <c r="G9" s="11">
        <f>SUM(C9:F9)</f>
        <v/>
      </c>
      <c r="H9" s="9" t="n">
        <v>4000</v>
      </c>
      <c r="I9" s="9" t="n">
        <v>4000</v>
      </c>
      <c r="J9" s="9" t="n">
        <v>3000</v>
      </c>
      <c r="K9" s="9" t="n">
        <v>2000</v>
      </c>
      <c r="L9" s="11">
        <f>SUM(H9:K9)</f>
        <v/>
      </c>
      <c r="M9" s="9" t="n">
        <v>3000</v>
      </c>
      <c r="N9" s="9" t="n">
        <v>3000</v>
      </c>
      <c r="O9" s="9" t="n">
        <v>3000</v>
      </c>
      <c r="P9" s="9" t="n">
        <v>2000</v>
      </c>
      <c r="Q9" s="11">
        <f>SUM(M9:P9)</f>
        <v/>
      </c>
      <c r="R9" s="12">
        <f>G9+L9+Q9</f>
        <v/>
      </c>
    </row>
    <row r="10" ht="22" customHeight="1">
      <c r="A10" s="13" t="n"/>
      <c r="B10" s="14" t="inlineStr">
        <is>
          <t>GHG / Biogas Monitoring System Design</t>
        </is>
      </c>
      <c r="C10" s="9" t="n">
        <v>4000</v>
      </c>
      <c r="D10" s="9" t="n">
        <v>4000</v>
      </c>
      <c r="E10" s="9" t="n">
        <v>2000</v>
      </c>
      <c r="F10" s="10" t="n"/>
      <c r="G10" s="11">
        <f>SUM(C10:F10)</f>
        <v/>
      </c>
      <c r="H10" s="9" t="n">
        <v>3000</v>
      </c>
      <c r="I10" s="9" t="n">
        <v>3000</v>
      </c>
      <c r="J10" s="9" t="n">
        <v>2000</v>
      </c>
      <c r="K10" s="9" t="n">
        <v>2000</v>
      </c>
      <c r="L10" s="11">
        <f>SUM(H10:K10)</f>
        <v/>
      </c>
      <c r="M10" s="9" t="n">
        <v>3000</v>
      </c>
      <c r="N10" s="9" t="n">
        <v>3000</v>
      </c>
      <c r="O10" s="9" t="n">
        <v>2000</v>
      </c>
      <c r="P10" s="9" t="n">
        <v>2000</v>
      </c>
      <c r="Q10" s="11">
        <f>SUM(M10:P10)</f>
        <v/>
      </c>
      <c r="R10" s="12">
        <f>G10+L10+Q10</f>
        <v/>
      </c>
    </row>
    <row r="11" ht="22" customHeight="1">
      <c r="A11" s="15" t="n"/>
      <c r="B11" s="14" t="inlineStr">
        <is>
          <t>Dashboard &amp; Mobile App UX/UI Design</t>
        </is>
      </c>
      <c r="C11" s="9" t="n">
        <v>3000</v>
      </c>
      <c r="D11" s="9" t="n">
        <v>3000</v>
      </c>
      <c r="E11" s="9" t="n">
        <v>2000</v>
      </c>
      <c r="F11" s="9" t="n">
        <v>1000</v>
      </c>
      <c r="G11" s="11">
        <f>SUM(C11:F11)</f>
        <v/>
      </c>
      <c r="H11" s="9" t="n">
        <v>2000</v>
      </c>
      <c r="I11" s="9" t="n">
        <v>2000</v>
      </c>
      <c r="J11" s="9" t="n">
        <v>2000</v>
      </c>
      <c r="K11" s="9" t="n">
        <v>1000</v>
      </c>
      <c r="L11" s="11">
        <f>SUM(H11:K11)</f>
        <v/>
      </c>
      <c r="M11" s="9" t="n">
        <v>2000</v>
      </c>
      <c r="N11" s="9" t="n">
        <v>2000</v>
      </c>
      <c r="O11" s="9" t="n">
        <v>1000</v>
      </c>
      <c r="P11" s="9" t="n">
        <v>1000</v>
      </c>
      <c r="Q11" s="11">
        <f>SUM(M11:P11)</f>
        <v/>
      </c>
      <c r="R11" s="12">
        <f>G11+L11+Q11</f>
        <v/>
      </c>
    </row>
    <row r="12" ht="22" customHeight="1">
      <c r="A12" s="16" t="n"/>
      <c r="B12" s="17" t="inlineStr">
        <is>
          <t>Design Subtotal</t>
        </is>
      </c>
      <c r="C12" s="18">
        <f>SUM(C7:C11)</f>
        <v/>
      </c>
      <c r="D12" s="18">
        <f>SUM(D7:D11)</f>
        <v/>
      </c>
      <c r="E12" s="18">
        <f>SUM(E7:E11)</f>
        <v/>
      </c>
      <c r="F12" s="18">
        <f>SUM(F7:F11)</f>
        <v/>
      </c>
      <c r="G12" s="11">
        <f>SUM(G7:G11)</f>
        <v/>
      </c>
      <c r="H12" s="18">
        <f>SUM(H7:H11)</f>
        <v/>
      </c>
      <c r="I12" s="18">
        <f>SUM(I7:I11)</f>
        <v/>
      </c>
      <c r="J12" s="18">
        <f>SUM(J7:J11)</f>
        <v/>
      </c>
      <c r="K12" s="18">
        <f>SUM(K7:K11)</f>
        <v/>
      </c>
      <c r="L12" s="11">
        <f>SUM(L7:L11)</f>
        <v/>
      </c>
      <c r="M12" s="18">
        <f>SUM(M7:M11)</f>
        <v/>
      </c>
      <c r="N12" s="18">
        <f>SUM(N7:N11)</f>
        <v/>
      </c>
      <c r="O12" s="18">
        <f>SUM(O7:O11)</f>
        <v/>
      </c>
      <c r="P12" s="18">
        <f>SUM(P7:P11)</f>
        <v/>
      </c>
      <c r="Q12" s="11">
        <f>SUM(Q7:Q11)</f>
        <v/>
      </c>
      <c r="R12" s="12">
        <f>SUM(R7:R11)</f>
        <v/>
      </c>
    </row>
    <row r="13" ht="22" customHeight="1">
      <c r="A13" s="7" t="inlineStr">
        <is>
          <t>SOLUTION
DEVELOPMENT</t>
        </is>
      </c>
      <c r="B13" s="8" t="inlineStr">
        <is>
          <t>IoT Hardware Procurement &amp; Assembly</t>
        </is>
      </c>
      <c r="C13" s="9" t="n">
        <v>3000</v>
      </c>
      <c r="D13" s="9" t="n">
        <v>10000</v>
      </c>
      <c r="E13" s="9" t="n">
        <v>8000</v>
      </c>
      <c r="F13" s="9" t="n">
        <v>4000</v>
      </c>
      <c r="G13" s="11">
        <f>SUM(C13:F13)</f>
        <v/>
      </c>
      <c r="H13" s="9" t="n">
        <v>6000</v>
      </c>
      <c r="I13" s="9" t="n">
        <v>8000</v>
      </c>
      <c r="J13" s="9" t="n">
        <v>7000</v>
      </c>
      <c r="K13" s="9" t="n">
        <v>5000</v>
      </c>
      <c r="L13" s="11">
        <f>SUM(H13:K13)</f>
        <v/>
      </c>
      <c r="M13" s="9" t="n">
        <v>8000</v>
      </c>
      <c r="N13" s="9" t="n">
        <v>10000</v>
      </c>
      <c r="O13" s="9" t="n">
        <v>8000</v>
      </c>
      <c r="P13" s="9" t="n">
        <v>6000</v>
      </c>
      <c r="Q13" s="11">
        <f>SUM(M13:P13)</f>
        <v/>
      </c>
      <c r="R13" s="12">
        <f>G13+L13+Q13</f>
        <v/>
      </c>
    </row>
    <row r="14" ht="22" customHeight="1">
      <c r="A14" s="13" t="n"/>
      <c r="B14" s="14" t="inlineStr">
        <is>
          <t>Embedded Software &amp; Firmware Dev</t>
        </is>
      </c>
      <c r="C14" s="9" t="n">
        <v>2000</v>
      </c>
      <c r="D14" s="9" t="n">
        <v>4000</v>
      </c>
      <c r="E14" s="9" t="n">
        <v>5000</v>
      </c>
      <c r="F14" s="9" t="n">
        <v>4000</v>
      </c>
      <c r="G14" s="11">
        <f>SUM(C14:F14)</f>
        <v/>
      </c>
      <c r="H14" s="9" t="n">
        <v>4000</v>
      </c>
      <c r="I14" s="9" t="n">
        <v>5000</v>
      </c>
      <c r="J14" s="9" t="n">
        <v>5000</v>
      </c>
      <c r="K14" s="9" t="n">
        <v>4000</v>
      </c>
      <c r="L14" s="11">
        <f>SUM(H14:K14)</f>
        <v/>
      </c>
      <c r="M14" s="9" t="n">
        <v>5000</v>
      </c>
      <c r="N14" s="9" t="n">
        <v>6000</v>
      </c>
      <c r="O14" s="9" t="n">
        <v>6000</v>
      </c>
      <c r="P14" s="9" t="n">
        <v>5000</v>
      </c>
      <c r="Q14" s="11">
        <f>SUM(M14:P14)</f>
        <v/>
      </c>
      <c r="R14" s="12">
        <f>G14+L14+Q14</f>
        <v/>
      </c>
    </row>
    <row r="15" ht="22" customHeight="1">
      <c r="A15" s="13" t="n"/>
      <c r="B15" s="14" t="inlineStr">
        <is>
          <t>AI Model Training &amp; Deployment</t>
        </is>
      </c>
      <c r="C15" s="10" t="n"/>
      <c r="D15" s="9" t="n">
        <v>3000</v>
      </c>
      <c r="E15" s="9" t="n">
        <v>5000</v>
      </c>
      <c r="F15" s="9" t="n">
        <v>5000</v>
      </c>
      <c r="G15" s="11">
        <f>SUM(C15:F15)</f>
        <v/>
      </c>
      <c r="H15" s="9" t="n">
        <v>5000</v>
      </c>
      <c r="I15" s="9" t="n">
        <v>6000</v>
      </c>
      <c r="J15" s="9" t="n">
        <v>6000</v>
      </c>
      <c r="K15" s="9" t="n">
        <v>5000</v>
      </c>
      <c r="L15" s="11">
        <f>SUM(H15:K15)</f>
        <v/>
      </c>
      <c r="M15" s="9" t="n">
        <v>7000</v>
      </c>
      <c r="N15" s="9" t="n">
        <v>7000</v>
      </c>
      <c r="O15" s="9" t="n">
        <v>7000</v>
      </c>
      <c r="P15" s="9" t="n">
        <v>6000</v>
      </c>
      <c r="Q15" s="11">
        <f>SUM(M15:P15)</f>
        <v/>
      </c>
      <c r="R15" s="12">
        <f>G15+L15+Q15</f>
        <v/>
      </c>
    </row>
    <row r="16" ht="22" customHeight="1">
      <c r="A16" s="13" t="n"/>
      <c r="B16" s="14" t="inlineStr">
        <is>
          <t>Web Dashboard &amp; Mobile App Dev</t>
        </is>
      </c>
      <c r="C16" s="10" t="n"/>
      <c r="D16" s="9" t="n">
        <v>3000</v>
      </c>
      <c r="E16" s="9" t="n">
        <v>5000</v>
      </c>
      <c r="F16" s="9" t="n">
        <v>5000</v>
      </c>
      <c r="G16" s="11">
        <f>SUM(C16:F16)</f>
        <v/>
      </c>
      <c r="H16" s="9" t="n">
        <v>5000</v>
      </c>
      <c r="I16" s="9" t="n">
        <v>6000</v>
      </c>
      <c r="J16" s="9" t="n">
        <v>5000</v>
      </c>
      <c r="K16" s="9" t="n">
        <v>5000</v>
      </c>
      <c r="L16" s="11">
        <f>SUM(H16:K16)</f>
        <v/>
      </c>
      <c r="M16" s="9" t="n">
        <v>6000</v>
      </c>
      <c r="N16" s="9" t="n">
        <v>7000</v>
      </c>
      <c r="O16" s="9" t="n">
        <v>6000</v>
      </c>
      <c r="P16" s="9" t="n">
        <v>6000</v>
      </c>
      <c r="Q16" s="11">
        <f>SUM(M16:P16)</f>
        <v/>
      </c>
      <c r="R16" s="12">
        <f>G16+L16+Q16</f>
        <v/>
      </c>
    </row>
    <row r="17" ht="22" customHeight="1">
      <c r="A17" s="13" t="n"/>
      <c r="B17" s="14" t="inlineStr">
        <is>
          <t>GHG Monitoring, Biogas &amp; NDC Integration</t>
        </is>
      </c>
      <c r="C17" s="9" t="n">
        <v>1000</v>
      </c>
      <c r="D17" s="9" t="n">
        <v>3000</v>
      </c>
      <c r="E17" s="9" t="n">
        <v>4000</v>
      </c>
      <c r="F17" s="9" t="n">
        <v>4000</v>
      </c>
      <c r="G17" s="11">
        <f>SUM(C17:F17)</f>
        <v/>
      </c>
      <c r="H17" s="9" t="n">
        <v>4000</v>
      </c>
      <c r="I17" s="9" t="n">
        <v>5000</v>
      </c>
      <c r="J17" s="9" t="n">
        <v>5000</v>
      </c>
      <c r="K17" s="9" t="n">
        <v>4000</v>
      </c>
      <c r="L17" s="11">
        <f>SUM(H17:K17)</f>
        <v/>
      </c>
      <c r="M17" s="9" t="n">
        <v>5000</v>
      </c>
      <c r="N17" s="9" t="n">
        <v>6000</v>
      </c>
      <c r="O17" s="9" t="n">
        <v>6000</v>
      </c>
      <c r="P17" s="9" t="n">
        <v>5000</v>
      </c>
      <c r="Q17" s="11">
        <f>SUM(M17:P17)</f>
        <v/>
      </c>
      <c r="R17" s="12">
        <f>G17+L17+Q17</f>
        <v/>
      </c>
    </row>
    <row r="18" ht="22" customHeight="1">
      <c r="A18" s="13" t="n"/>
      <c r="B18" s="14" t="inlineStr">
        <is>
          <t>Cloud Infrastructure, Database &amp; APIs</t>
        </is>
      </c>
      <c r="C18" s="9" t="n">
        <v>2000</v>
      </c>
      <c r="D18" s="9" t="n">
        <v>3000</v>
      </c>
      <c r="E18" s="9" t="n">
        <v>3000</v>
      </c>
      <c r="F18" s="9" t="n">
        <v>4479</v>
      </c>
      <c r="G18" s="11">
        <f>SUM(C18:F18)</f>
        <v/>
      </c>
      <c r="H18" s="9" t="n">
        <v>4000</v>
      </c>
      <c r="I18" s="9" t="n">
        <v>4000</v>
      </c>
      <c r="J18" s="9" t="n">
        <v>4000</v>
      </c>
      <c r="K18" s="9" t="n">
        <v>4575</v>
      </c>
      <c r="L18" s="11">
        <f>SUM(H18:K18)</f>
        <v/>
      </c>
      <c r="M18" s="9" t="n">
        <v>5000</v>
      </c>
      <c r="N18" s="9" t="n">
        <v>5000</v>
      </c>
      <c r="O18" s="9" t="n">
        <v>5000</v>
      </c>
      <c r="P18" s="9" t="n">
        <v>5233</v>
      </c>
      <c r="Q18" s="11">
        <f>SUM(M18:P18)</f>
        <v/>
      </c>
      <c r="R18" s="12">
        <f>G18+L18+Q18</f>
        <v/>
      </c>
    </row>
    <row r="19" ht="22" customHeight="1">
      <c r="A19" s="15" t="n"/>
      <c r="B19" s="14" t="inlineStr">
        <is>
          <t>Testing, QA &amp; Pilot Deployment</t>
        </is>
      </c>
      <c r="C19" s="10" t="n"/>
      <c r="D19" s="10" t="n"/>
      <c r="E19" s="9" t="n">
        <v>5000</v>
      </c>
      <c r="F19" s="9" t="n">
        <v>7000</v>
      </c>
      <c r="G19" s="11">
        <f>SUM(C19:F19)</f>
        <v/>
      </c>
      <c r="H19" s="9" t="n">
        <v>4000</v>
      </c>
      <c r="I19" s="9" t="n">
        <v>5000</v>
      </c>
      <c r="J19" s="9" t="n">
        <v>5000</v>
      </c>
      <c r="K19" s="9" t="n">
        <v>5000</v>
      </c>
      <c r="L19" s="11">
        <f>SUM(H19:K19)</f>
        <v/>
      </c>
      <c r="M19" s="9" t="n">
        <v>5000</v>
      </c>
      <c r="N19" s="9" t="n">
        <v>6000</v>
      </c>
      <c r="O19" s="9" t="n">
        <v>6000</v>
      </c>
      <c r="P19" s="9" t="n">
        <v>6000</v>
      </c>
      <c r="Q19" s="11">
        <f>SUM(M19:P19)</f>
        <v/>
      </c>
      <c r="R19" s="12">
        <f>G19+L19+Q19</f>
        <v/>
      </c>
    </row>
    <row r="20" ht="22" customHeight="1">
      <c r="A20" s="16" t="n"/>
      <c r="B20" s="17" t="inlineStr">
        <is>
          <t>Development Subtotal</t>
        </is>
      </c>
      <c r="C20" s="18">
        <f>SUM(C13:C19)</f>
        <v/>
      </c>
      <c r="D20" s="18">
        <f>SUM(D13:D19)</f>
        <v/>
      </c>
      <c r="E20" s="18">
        <f>SUM(E13:E19)</f>
        <v/>
      </c>
      <c r="F20" s="18">
        <f>SUM(F13:F19)</f>
        <v/>
      </c>
      <c r="G20" s="11">
        <f>SUM(G13:G19)</f>
        <v/>
      </c>
      <c r="H20" s="18">
        <f>SUM(H13:H19)</f>
        <v/>
      </c>
      <c r="I20" s="18">
        <f>SUM(I13:I19)</f>
        <v/>
      </c>
      <c r="J20" s="18">
        <f>SUM(J13:J19)</f>
        <v/>
      </c>
      <c r="K20" s="18">
        <f>SUM(K13:K19)</f>
        <v/>
      </c>
      <c r="L20" s="11">
        <f>SUM(L13:L19)</f>
        <v/>
      </c>
      <c r="M20" s="18">
        <f>SUM(M13:M19)</f>
        <v/>
      </c>
      <c r="N20" s="18">
        <f>SUM(N13:N19)</f>
        <v/>
      </c>
      <c r="O20" s="18">
        <f>SUM(O13:O19)</f>
        <v/>
      </c>
      <c r="P20" s="18">
        <f>SUM(P13:P19)</f>
        <v/>
      </c>
      <c r="Q20" s="11">
        <f>SUM(Q13:Q19)</f>
        <v/>
      </c>
      <c r="R20" s="12">
        <f>SUM(R13:R19)</f>
        <v/>
      </c>
    </row>
    <row r="21" ht="22" customHeight="1">
      <c r="A21" s="7" t="inlineStr">
        <is>
          <t>SOLUTION
PROMOTION</t>
        </is>
      </c>
      <c r="B21" s="8" t="inlineStr">
        <is>
          <t>Farmer Training &amp; Capacity Building</t>
        </is>
      </c>
      <c r="C21" s="10" t="n"/>
      <c r="D21" s="10" t="n"/>
      <c r="E21" s="9" t="n">
        <v>3000</v>
      </c>
      <c r="F21" s="9" t="n">
        <v>3000</v>
      </c>
      <c r="G21" s="11">
        <f>SUM(C21:F21)</f>
        <v/>
      </c>
      <c r="H21" s="9" t="n">
        <v>3000</v>
      </c>
      <c r="I21" s="9" t="n">
        <v>3000</v>
      </c>
      <c r="J21" s="9" t="n">
        <v>3000</v>
      </c>
      <c r="K21" s="9" t="n">
        <v>2000</v>
      </c>
      <c r="L21" s="11">
        <f>SUM(H21:K21)</f>
        <v/>
      </c>
      <c r="M21" s="9" t="n">
        <v>3000</v>
      </c>
      <c r="N21" s="9" t="n">
        <v>3000</v>
      </c>
      <c r="O21" s="9" t="n">
        <v>2000</v>
      </c>
      <c r="P21" s="9" t="n">
        <v>2000</v>
      </c>
      <c r="Q21" s="11">
        <f>SUM(M21:P21)</f>
        <v/>
      </c>
      <c r="R21" s="12">
        <f>G21+L21+Q21</f>
        <v/>
      </c>
    </row>
    <row r="22" ht="22" customHeight="1">
      <c r="A22" s="13" t="n"/>
      <c r="B22" s="14" t="inlineStr">
        <is>
          <t>Stakeholder Engagement &amp; Live Demos</t>
        </is>
      </c>
      <c r="C22" s="9" t="n">
        <v>1000</v>
      </c>
      <c r="D22" s="9" t="n">
        <v>2000</v>
      </c>
      <c r="E22" s="9" t="n">
        <v>2000</v>
      </c>
      <c r="F22" s="9" t="n">
        <v>1000</v>
      </c>
      <c r="G22" s="11">
        <f>SUM(C22:F22)</f>
        <v/>
      </c>
      <c r="H22" s="9" t="n">
        <v>2000</v>
      </c>
      <c r="I22" s="9" t="n">
        <v>2000</v>
      </c>
      <c r="J22" s="9" t="n">
        <v>3000</v>
      </c>
      <c r="K22" s="9" t="n">
        <v>2000</v>
      </c>
      <c r="L22" s="11">
        <f>SUM(H22:K22)</f>
        <v/>
      </c>
      <c r="M22" s="9" t="n">
        <v>2000</v>
      </c>
      <c r="N22" s="9" t="n">
        <v>2000</v>
      </c>
      <c r="O22" s="9" t="n">
        <v>2000</v>
      </c>
      <c r="P22" s="9" t="n">
        <v>2000</v>
      </c>
      <c r="Q22" s="11">
        <f>SUM(M22:P22)</f>
        <v/>
      </c>
      <c r="R22" s="12">
        <f>G22+L22+Q22</f>
        <v/>
      </c>
    </row>
    <row r="23" ht="22" customHeight="1">
      <c r="A23" s="13" t="n"/>
      <c r="B23" s="14" t="inlineStr">
        <is>
          <t>NDC / GHG Impact Reports &amp; Publications</t>
        </is>
      </c>
      <c r="C23" s="10" t="n"/>
      <c r="D23" s="10" t="n"/>
      <c r="E23" s="9" t="n">
        <v>2000</v>
      </c>
      <c r="F23" s="9" t="n">
        <v>3000</v>
      </c>
      <c r="G23" s="11">
        <f>SUM(C23:F23)</f>
        <v/>
      </c>
      <c r="H23" s="9" t="n">
        <v>2000</v>
      </c>
      <c r="I23" s="9" t="n">
        <v>2000</v>
      </c>
      <c r="J23" s="9" t="n">
        <v>3000</v>
      </c>
      <c r="K23" s="9" t="n">
        <v>2000</v>
      </c>
      <c r="L23" s="11">
        <f>SUM(H23:K23)</f>
        <v/>
      </c>
      <c r="M23" s="9" t="n">
        <v>3000</v>
      </c>
      <c r="N23" s="9" t="n">
        <v>3000</v>
      </c>
      <c r="O23" s="9" t="n">
        <v>2000</v>
      </c>
      <c r="P23" s="9" t="n">
        <v>2000</v>
      </c>
      <c r="Q23" s="11">
        <f>SUM(M23:P23)</f>
        <v/>
      </c>
      <c r="R23" s="12">
        <f>G23+L23+Q23</f>
        <v/>
      </c>
    </row>
    <row r="24" ht="22" customHeight="1">
      <c r="A24" s="13" t="n"/>
      <c r="B24" s="14" t="inlineStr">
        <is>
          <t>Marketing, Branding &amp; Conferences</t>
        </is>
      </c>
      <c r="C24" s="9" t="n">
        <v>2000</v>
      </c>
      <c r="D24" s="9" t="n">
        <v>2000</v>
      </c>
      <c r="E24" s="9" t="n">
        <v>3000</v>
      </c>
      <c r="F24" s="9" t="n">
        <v>2000</v>
      </c>
      <c r="G24" s="11">
        <f>SUM(C24:F24)</f>
        <v/>
      </c>
      <c r="H24" s="9" t="n">
        <v>3000</v>
      </c>
      <c r="I24" s="9" t="n">
        <v>3000</v>
      </c>
      <c r="J24" s="9" t="n">
        <v>2000</v>
      </c>
      <c r="K24" s="9" t="n">
        <v>3000</v>
      </c>
      <c r="L24" s="11">
        <f>SUM(H24:K24)</f>
        <v/>
      </c>
      <c r="M24" s="9" t="n">
        <v>3000</v>
      </c>
      <c r="N24" s="9" t="n">
        <v>3000</v>
      </c>
      <c r="O24" s="9" t="n">
        <v>3000</v>
      </c>
      <c r="P24" s="9" t="n">
        <v>3000</v>
      </c>
      <c r="Q24" s="11">
        <f>SUM(M24:P24)</f>
        <v/>
      </c>
      <c r="R24" s="12">
        <f>G24+L24+Q24</f>
        <v/>
      </c>
    </row>
    <row r="25" ht="22" customHeight="1">
      <c r="A25" s="13" t="n"/>
      <c r="B25" s="14" t="inlineStr">
        <is>
          <t>Partnership Dev &amp; Green Fund Applications</t>
        </is>
      </c>
      <c r="C25" s="9" t="n">
        <v>2000</v>
      </c>
      <c r="D25" s="9" t="n">
        <v>3000</v>
      </c>
      <c r="E25" s="9" t="n">
        <v>3000</v>
      </c>
      <c r="F25" s="9" t="n">
        <v>4000</v>
      </c>
      <c r="G25" s="11">
        <f>SUM(C25:F25)</f>
        <v/>
      </c>
      <c r="H25" s="9" t="n">
        <v>3000</v>
      </c>
      <c r="I25" s="9" t="n">
        <v>3000</v>
      </c>
      <c r="J25" s="9" t="n">
        <v>4000</v>
      </c>
      <c r="K25" s="9" t="n">
        <v>4000</v>
      </c>
      <c r="L25" s="11">
        <f>SUM(H25:K25)</f>
        <v/>
      </c>
      <c r="M25" s="9" t="n">
        <v>3000</v>
      </c>
      <c r="N25" s="9" t="n">
        <v>4000</v>
      </c>
      <c r="O25" s="9" t="n">
        <v>4000</v>
      </c>
      <c r="P25" s="9" t="n">
        <v>4000</v>
      </c>
      <c r="Q25" s="11">
        <f>SUM(M25:P25)</f>
        <v/>
      </c>
      <c r="R25" s="12">
        <f>G25+L25+Q25</f>
        <v/>
      </c>
    </row>
    <row r="26" ht="22" customHeight="1">
      <c r="A26" s="15" t="n"/>
      <c r="B26" s="14" t="inlineStr">
        <is>
          <t>Monitoring &amp; Evaluation (M&amp;E)</t>
        </is>
      </c>
      <c r="C26" s="9" t="n">
        <v>1000</v>
      </c>
      <c r="D26" s="10" t="n"/>
      <c r="E26" s="9" t="n">
        <v>1000</v>
      </c>
      <c r="F26" s="9" t="n">
        <v>3000</v>
      </c>
      <c r="G26" s="11">
        <f>SUM(C26:F26)</f>
        <v/>
      </c>
      <c r="H26" s="9" t="n">
        <v>1000</v>
      </c>
      <c r="I26" s="9" t="n">
        <v>2000</v>
      </c>
      <c r="J26" s="9" t="n">
        <v>2000</v>
      </c>
      <c r="K26" s="9" t="n">
        <v>3000</v>
      </c>
      <c r="L26" s="11">
        <f>SUM(H26:K26)</f>
        <v/>
      </c>
      <c r="M26" s="9" t="n">
        <v>1000</v>
      </c>
      <c r="N26" s="9" t="n">
        <v>3000</v>
      </c>
      <c r="O26" s="9" t="n">
        <v>4000</v>
      </c>
      <c r="P26" s="9" t="n">
        <v>2000</v>
      </c>
      <c r="Q26" s="11">
        <f>SUM(M26:P26)</f>
        <v/>
      </c>
      <c r="R26" s="12">
        <f>G26+L26+Q26</f>
        <v/>
      </c>
    </row>
    <row r="27" ht="22" customHeight="1">
      <c r="A27" s="16" t="n"/>
      <c r="B27" s="17" t="inlineStr">
        <is>
          <t>Promotion Subtotal</t>
        </is>
      </c>
      <c r="C27" s="18">
        <f>SUM(C21:C26)</f>
        <v/>
      </c>
      <c r="D27" s="18">
        <f>SUM(D21:D26)</f>
        <v/>
      </c>
      <c r="E27" s="18">
        <f>SUM(E21:E26)</f>
        <v/>
      </c>
      <c r="F27" s="18">
        <f>SUM(F21:F26)</f>
        <v/>
      </c>
      <c r="G27" s="11">
        <f>SUM(G21:G26)</f>
        <v/>
      </c>
      <c r="H27" s="18">
        <f>SUM(H21:H26)</f>
        <v/>
      </c>
      <c r="I27" s="18">
        <f>SUM(I21:I26)</f>
        <v/>
      </c>
      <c r="J27" s="18">
        <f>SUM(J21:J26)</f>
        <v/>
      </c>
      <c r="K27" s="18">
        <f>SUM(K21:K26)</f>
        <v/>
      </c>
      <c r="L27" s="11">
        <f>SUM(L21:L26)</f>
        <v/>
      </c>
      <c r="M27" s="18">
        <f>SUM(M21:M26)</f>
        <v/>
      </c>
      <c r="N27" s="18">
        <f>SUM(N21:N26)</f>
        <v/>
      </c>
      <c r="O27" s="18">
        <f>SUM(O21:O26)</f>
        <v/>
      </c>
      <c r="P27" s="18">
        <f>SUM(P21:P26)</f>
        <v/>
      </c>
      <c r="Q27" s="11">
        <f>SUM(Q21:Q26)</f>
        <v/>
      </c>
      <c r="R27" s="12">
        <f>SUM(R21:R26)</f>
        <v/>
      </c>
    </row>
    <row r="28" ht="28" customHeight="1">
      <c r="A28" s="19" t="n"/>
      <c r="B28" s="20" t="inlineStr">
        <is>
          <t>QUARTERLY TOTALS</t>
        </is>
      </c>
      <c r="C28" s="21">
        <f>C12+C20+C27</f>
        <v/>
      </c>
      <c r="D28" s="21">
        <f>D12+D20+D27</f>
        <v/>
      </c>
      <c r="E28" s="21">
        <f>E12+E20+E27</f>
        <v/>
      </c>
      <c r="F28" s="21">
        <f>F12+F20+F27</f>
        <v/>
      </c>
      <c r="G28" s="22">
        <f>G12+G20+G27</f>
        <v/>
      </c>
      <c r="H28" s="21">
        <f>H12+H20+H27</f>
        <v/>
      </c>
      <c r="I28" s="21">
        <f>I12+I20+I27</f>
        <v/>
      </c>
      <c r="J28" s="21">
        <f>J12+J20+J27</f>
        <v/>
      </c>
      <c r="K28" s="21">
        <f>K12+K20+K27</f>
        <v/>
      </c>
      <c r="L28" s="22">
        <f>L12+L20+L27</f>
        <v/>
      </c>
      <c r="M28" s="21">
        <f>M12+M20+M27</f>
        <v/>
      </c>
      <c r="N28" s="21">
        <f>N12+N20+N27</f>
        <v/>
      </c>
      <c r="O28" s="21">
        <f>O12+O20+O27</f>
        <v/>
      </c>
      <c r="P28" s="21">
        <f>P12+P20+P27</f>
        <v/>
      </c>
      <c r="Q28" s="22">
        <f>Q12+Q20+Q27</f>
        <v/>
      </c>
      <c r="R28" s="23">
        <f>R12+R20+R27</f>
        <v/>
      </c>
    </row>
  </sheetData>
  <mergeCells count="15">
    <mergeCell ref="A5:A6"/>
    <mergeCell ref="A3:R3"/>
    <mergeCell ref="G5:G6"/>
    <mergeCell ref="M5:P5"/>
    <mergeCell ref="Q5:Q6"/>
    <mergeCell ref="R5:R6"/>
    <mergeCell ref="A13:A19"/>
    <mergeCell ref="A2:R2"/>
    <mergeCell ref="A21:A26"/>
    <mergeCell ref="A7:A11"/>
    <mergeCell ref="A1:R1"/>
    <mergeCell ref="C5:F5"/>
    <mergeCell ref="B5:B6"/>
    <mergeCell ref="H5:K5"/>
    <mergeCell ref="L5:L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9" max="9"/>
    <col width="10" customWidth="1" min="10" max="10"/>
    <col width="12" customWidth="1" min="11" max="11"/>
  </cols>
  <sheetData>
    <row r="1">
      <c r="A1" s="1" t="inlineStr">
        <is>
          <t>MooMe System: IoT Hardware Cost Estimation (12 Cows)</t>
        </is>
      </c>
    </row>
    <row r="2">
      <c r="A2" s="3" t="inlineStr">
        <is>
          <t>Prototype Startup Phase | Prices in USD (2,699,000 RWF)</t>
        </is>
      </c>
    </row>
    <row r="4" ht="28" customHeight="1">
      <c r="A4" s="4" t="inlineStr">
        <is>
          <t>No</t>
        </is>
      </c>
      <c r="B4" s="4" t="inlineStr">
        <is>
          <t>Component</t>
        </is>
      </c>
      <c r="C4" s="4" t="inlineStr">
        <is>
          <t>Description</t>
        </is>
      </c>
      <c r="D4" s="4" t="inlineStr">
        <is>
          <t>Quantity</t>
        </is>
      </c>
      <c r="E4" s="4" t="inlineStr">
        <is>
          <t>Unit Price (USD)</t>
        </is>
      </c>
      <c r="F4" s="4" t="inlineStr">
        <is>
          <t>Total (USD)</t>
        </is>
      </c>
      <c r="G4" s="4" t="inlineStr">
        <is>
          <t>Total (RWF)</t>
        </is>
      </c>
      <c r="I4" s="24" t="inlineStr">
        <is>
          <t>Exchange Rate:</t>
        </is>
      </c>
      <c r="J4" s="25" t="n">
        <v>1174</v>
      </c>
      <c r="K4" s="26" t="inlineStr">
        <is>
          <t>RWF / USD</t>
        </is>
      </c>
    </row>
    <row r="5">
      <c r="A5" s="27" t="n">
        <v>1</v>
      </c>
      <c r="B5" s="28" t="inlineStr">
        <is>
          <t>Raspberry Pi 4/5</t>
        </is>
      </c>
      <c r="C5" s="29" t="inlineStr">
        <is>
          <t>Main controller</t>
        </is>
      </c>
      <c r="D5" s="27" t="n">
        <v>1</v>
      </c>
      <c r="E5" s="30">
        <f>ROUND(G5/$J$4,0)</f>
        <v/>
      </c>
      <c r="F5" s="31">
        <f>ROUND(G5/$J$4,0)</f>
        <v/>
      </c>
      <c r="G5" s="32" t="n">
        <v>120000</v>
      </c>
    </row>
    <row r="6">
      <c r="A6" s="33" t="n">
        <v>2</v>
      </c>
      <c r="B6" s="34" t="inlineStr">
        <is>
          <t>MicroSD Card (64GB)</t>
        </is>
      </c>
      <c r="C6" s="14" t="inlineStr">
        <is>
          <t>Storage</t>
        </is>
      </c>
      <c r="D6" s="33" t="n">
        <v>1</v>
      </c>
      <c r="E6" s="9">
        <f>ROUND(G6/$J$4,0)</f>
        <v/>
      </c>
      <c r="F6" s="35">
        <f>ROUND(G6/$J$4,0)</f>
        <v/>
      </c>
      <c r="G6" s="36" t="n">
        <v>15000</v>
      </c>
    </row>
    <row r="7">
      <c r="A7" s="27" t="n">
        <v>3</v>
      </c>
      <c r="B7" s="28" t="inlineStr">
        <is>
          <t>Power Supply</t>
        </is>
      </c>
      <c r="C7" s="29" t="inlineStr">
        <is>
          <t>Adapter</t>
        </is>
      </c>
      <c r="D7" s="27" t="n">
        <v>1</v>
      </c>
      <c r="E7" s="30">
        <f>ROUND(G7/$J$4,0)</f>
        <v/>
      </c>
      <c r="F7" s="31">
        <f>ROUND(G7/$J$4,0)</f>
        <v/>
      </c>
      <c r="G7" s="32" t="n">
        <v>10000</v>
      </c>
    </row>
    <row r="8">
      <c r="A8" s="33" t="n">
        <v>4</v>
      </c>
      <c r="B8" s="34" t="inlineStr">
        <is>
          <t>Non-contact Temp Sensor (IR)</t>
        </is>
      </c>
      <c r="C8" s="14" t="inlineStr">
        <is>
          <t>Per cow</t>
        </is>
      </c>
      <c r="D8" s="33" t="n">
        <v>12</v>
      </c>
      <c r="E8" s="9">
        <f>ROUND(G8/D8/$J$4,0)</f>
        <v/>
      </c>
      <c r="F8" s="35">
        <f>ROUND(G8/$J$4,0)</f>
        <v/>
      </c>
      <c r="G8" s="36" t="n">
        <v>240000</v>
      </c>
    </row>
    <row r="9">
      <c r="A9" s="27" t="n">
        <v>5</v>
      </c>
      <c r="B9" s="28" t="inlineStr">
        <is>
          <t>DHT22 Sensor</t>
        </is>
      </c>
      <c r="C9" s="29" t="inlineStr">
        <is>
          <t>Environment monitoring</t>
        </is>
      </c>
      <c r="D9" s="27" t="n">
        <v>2</v>
      </c>
      <c r="E9" s="30">
        <f>ROUND(G9/D9/$J$4,0)</f>
        <v/>
      </c>
      <c r="F9" s="31">
        <f>ROUND(G9/$J$4,0)</f>
        <v/>
      </c>
      <c r="G9" s="32" t="n">
        <v>16000</v>
      </c>
    </row>
    <row r="10">
      <c r="A10" s="33" t="n">
        <v>6</v>
      </c>
      <c r="B10" s="34" t="inlineStr">
        <is>
          <t>Air Quality Sensor (MQ-135)</t>
        </is>
      </c>
      <c r="C10" s="14" t="inlineStr">
        <is>
          <t>Gas detection</t>
        </is>
      </c>
      <c r="D10" s="33" t="n">
        <v>1</v>
      </c>
      <c r="E10" s="9">
        <f>ROUND(G10/$J$4,0)</f>
        <v/>
      </c>
      <c r="F10" s="35">
        <f>ROUND(G10/$J$4,0)</f>
        <v/>
      </c>
      <c r="G10" s="36" t="n">
        <v>15000</v>
      </c>
    </row>
    <row r="11">
      <c r="A11" s="27" t="n">
        <v>7</v>
      </c>
      <c r="B11" s="28" t="inlineStr">
        <is>
          <t>Oxygen Sensor</t>
        </is>
      </c>
      <c r="C11" s="29" t="inlineStr">
        <is>
          <t>Air monitoring</t>
        </is>
      </c>
      <c r="D11" s="27" t="n">
        <v>1</v>
      </c>
      <c r="E11" s="30">
        <f>ROUND(G11/$J$4,0)</f>
        <v/>
      </c>
      <c r="F11" s="31">
        <f>ROUND(G11/$J$4,0)</f>
        <v/>
      </c>
      <c r="G11" s="32" t="n">
        <v>25000</v>
      </c>
    </row>
    <row r="12">
      <c r="A12" s="33" t="n">
        <v>8</v>
      </c>
      <c r="B12" s="34" t="inlineStr">
        <is>
          <t>RFID Reader Module</t>
        </is>
      </c>
      <c r="C12" s="14" t="inlineStr">
        <is>
          <t>Identification</t>
        </is>
      </c>
      <c r="D12" s="33" t="n">
        <v>1</v>
      </c>
      <c r="E12" s="9">
        <f>ROUND(G12/$J$4,0)</f>
        <v/>
      </c>
      <c r="F12" s="35">
        <f>ROUND(G12/$J$4,0)</f>
        <v/>
      </c>
      <c r="G12" s="36" t="n">
        <v>18000</v>
      </c>
    </row>
    <row r="13">
      <c r="A13" s="27" t="n">
        <v>9</v>
      </c>
      <c r="B13" s="28" t="inlineStr">
        <is>
          <t>RFID Tags</t>
        </is>
      </c>
      <c r="C13" s="29" t="inlineStr">
        <is>
          <t>Per cow ID</t>
        </is>
      </c>
      <c r="D13" s="27" t="n">
        <v>12</v>
      </c>
      <c r="E13" s="30">
        <f>ROUND(G13/D13/$J$4,0)</f>
        <v/>
      </c>
      <c r="F13" s="31">
        <f>ROUND(G13/$J$4,0)</f>
        <v/>
      </c>
      <c r="G13" s="32" t="n">
        <v>24000</v>
      </c>
    </row>
    <row r="14">
      <c r="A14" s="33" t="n">
        <v>10</v>
      </c>
      <c r="B14" s="34" t="inlineStr">
        <is>
          <t>Water Flow Sensor</t>
        </is>
      </c>
      <c r="C14" s="14" t="inlineStr">
        <is>
          <t>Per cow intake</t>
        </is>
      </c>
      <c r="D14" s="33" t="n">
        <v>12</v>
      </c>
      <c r="E14" s="9">
        <f>ROUND(G14/D14/$J$4,0)</f>
        <v/>
      </c>
      <c r="F14" s="35">
        <f>ROUND(G14/$J$4,0)</f>
        <v/>
      </c>
      <c r="G14" s="36" t="n">
        <v>120000</v>
      </c>
    </row>
    <row r="15">
      <c r="A15" s="27" t="n">
        <v>11</v>
      </c>
      <c r="B15" s="28" t="inlineStr">
        <is>
          <t>Load Cell + HX711</t>
        </is>
      </c>
      <c r="C15" s="29" t="inlineStr">
        <is>
          <t>Feed measurement</t>
        </is>
      </c>
      <c r="D15" s="27" t="n">
        <v>12</v>
      </c>
      <c r="E15" s="30">
        <f>ROUND(G15/D15/$J$4,0)</f>
        <v/>
      </c>
      <c r="F15" s="31">
        <f>ROUND(G15/$J$4,0)</f>
        <v/>
      </c>
      <c r="G15" s="32" t="n">
        <v>180000</v>
      </c>
    </row>
    <row r="16">
      <c r="A16" s="33" t="n">
        <v>12</v>
      </c>
      <c r="B16" s="34" t="inlineStr">
        <is>
          <t>Smart Milk Meter</t>
        </is>
      </c>
      <c r="C16" s="14" t="inlineStr">
        <is>
          <t>Milk measurement</t>
        </is>
      </c>
      <c r="D16" s="33" t="n">
        <v>12</v>
      </c>
      <c r="E16" s="9">
        <f>ROUND(G16/D16/$J$4,0)</f>
        <v/>
      </c>
      <c r="F16" s="35">
        <f>ROUND(G16/$J$4,0)</f>
        <v/>
      </c>
      <c r="G16" s="36" t="n">
        <v>720000</v>
      </c>
    </row>
    <row r="17">
      <c r="A17" s="27" t="n">
        <v>13</v>
      </c>
      <c r="B17" s="28" t="inlineStr">
        <is>
          <t>DC Water Pump</t>
        </is>
      </c>
      <c r="C17" s="29" t="inlineStr">
        <is>
          <t>Per cow</t>
        </is>
      </c>
      <c r="D17" s="27" t="n">
        <v>12</v>
      </c>
      <c r="E17" s="30">
        <f>ROUND(G17/D17/$J$4,0)</f>
        <v/>
      </c>
      <c r="F17" s="31">
        <f>ROUND(G17/$J$4,0)</f>
        <v/>
      </c>
      <c r="G17" s="32" t="n">
        <v>240000</v>
      </c>
    </row>
    <row r="18">
      <c r="A18" s="33" t="n">
        <v>14</v>
      </c>
      <c r="B18" s="34" t="inlineStr">
        <is>
          <t>Fans (Cooling)</t>
        </is>
      </c>
      <c r="C18" s="14" t="inlineStr">
        <is>
          <t>Shared system</t>
        </is>
      </c>
      <c r="D18" s="33" t="n">
        <v>4</v>
      </c>
      <c r="E18" s="9">
        <f>ROUND(G18/D18/$J$4,0)</f>
        <v/>
      </c>
      <c r="F18" s="35">
        <f>ROUND(G18/$J$4,0)</f>
        <v/>
      </c>
      <c r="G18" s="36" t="n">
        <v>100000</v>
      </c>
    </row>
    <row r="19">
      <c r="A19" s="27" t="n">
        <v>15</v>
      </c>
      <c r="B19" s="28" t="inlineStr">
        <is>
          <t>Relay Modules</t>
        </is>
      </c>
      <c r="C19" s="29" t="inlineStr">
        <is>
          <t>Control system</t>
        </is>
      </c>
      <c r="D19" s="27" t="n">
        <v>5</v>
      </c>
      <c r="E19" s="30">
        <f>ROUND(G19/D19/$J$4,0)</f>
        <v/>
      </c>
      <c r="F19" s="31">
        <f>ROUND(G19/$J$4,0)</f>
        <v/>
      </c>
      <c r="G19" s="32" t="n">
        <v>40000</v>
      </c>
    </row>
    <row r="20">
      <c r="A20" s="33" t="n">
        <v>16</v>
      </c>
      <c r="B20" s="34" t="inlineStr">
        <is>
          <t>Motor (Feed Dispenser)</t>
        </is>
      </c>
      <c r="C20" s="14" t="inlineStr">
        <is>
          <t>Per cow</t>
        </is>
      </c>
      <c r="D20" s="33" t="n">
        <v>12</v>
      </c>
      <c r="E20" s="9">
        <f>ROUND(G20/D20/$J$4,0)</f>
        <v/>
      </c>
      <c r="F20" s="35">
        <f>ROUND(G20/$J$4,0)</f>
        <v/>
      </c>
      <c r="G20" s="36" t="n">
        <v>216000</v>
      </c>
    </row>
    <row r="21">
      <c r="A21" s="27" t="n">
        <v>17</v>
      </c>
      <c r="B21" s="28" t="inlineStr">
        <is>
          <t>Pipes &amp; Spray Nozzles</t>
        </is>
      </c>
      <c r="C21" s="29" t="inlineStr">
        <is>
          <t>Cooling system</t>
        </is>
      </c>
      <c r="D21" s="27" t="n">
        <v>1</v>
      </c>
      <c r="E21" s="30">
        <f>ROUND(G21/$J$4,0)</f>
        <v/>
      </c>
      <c r="F21" s="31">
        <f>ROUND(G21/$J$4,0)</f>
        <v/>
      </c>
      <c r="G21" s="32" t="n">
        <v>60000</v>
      </c>
    </row>
    <row r="22">
      <c r="A22" s="33" t="n">
        <v>18</v>
      </c>
      <c r="B22" s="34" t="inlineStr">
        <is>
          <t>GSM Module (SIM800L)</t>
        </is>
      </c>
      <c r="C22" s="14" t="inlineStr">
        <is>
          <t>SMS alerts</t>
        </is>
      </c>
      <c r="D22" s="33" t="n">
        <v>1</v>
      </c>
      <c r="E22" s="9">
        <f>ROUND(G22/$J$4,0)</f>
        <v/>
      </c>
      <c r="F22" s="35">
        <f>ROUND(G22/$J$4,0)</f>
        <v/>
      </c>
      <c r="G22" s="36" t="n">
        <v>15000</v>
      </c>
    </row>
    <row r="23">
      <c r="A23" s="27" t="n">
        <v>19</v>
      </c>
      <c r="B23" s="28" t="inlineStr">
        <is>
          <t>Wi-Fi Router</t>
        </is>
      </c>
      <c r="C23" s="29" t="inlineStr">
        <is>
          <t>Connectivity</t>
        </is>
      </c>
      <c r="D23" s="27" t="n">
        <v>1</v>
      </c>
      <c r="E23" s="30">
        <f>ROUND(G23/$J$4,0)</f>
        <v/>
      </c>
      <c r="F23" s="31">
        <f>ROUND(G23/$J$4,0)</f>
        <v/>
      </c>
      <c r="G23" s="32" t="n">
        <v>35000</v>
      </c>
    </row>
    <row r="24">
      <c r="A24" s="33" t="n">
        <v>20</v>
      </c>
      <c r="B24" s="34" t="inlineStr">
        <is>
          <t>Solar Panel (200W)</t>
        </is>
      </c>
      <c r="C24" s="14" t="inlineStr">
        <is>
          <t>Backup power</t>
        </is>
      </c>
      <c r="D24" s="33" t="n">
        <v>1</v>
      </c>
      <c r="E24" s="9">
        <f>ROUND(G24/$J$4,0)</f>
        <v/>
      </c>
      <c r="F24" s="35">
        <f>ROUND(G24/$J$4,0)</f>
        <v/>
      </c>
      <c r="G24" s="36" t="n">
        <v>150000</v>
      </c>
    </row>
    <row r="25">
      <c r="A25" s="27" t="n">
        <v>21</v>
      </c>
      <c r="B25" s="28" t="inlineStr">
        <is>
          <t>Battery (100Ah)</t>
        </is>
      </c>
      <c r="C25" s="29" t="inlineStr">
        <is>
          <t>Energy storage</t>
        </is>
      </c>
      <c r="D25" s="27" t="n">
        <v>1</v>
      </c>
      <c r="E25" s="30">
        <f>ROUND(G25/$J$4,0)</f>
        <v/>
      </c>
      <c r="F25" s="31">
        <f>ROUND(G25/$J$4,0)</f>
        <v/>
      </c>
      <c r="G25" s="32" t="n">
        <v>180000</v>
      </c>
    </row>
    <row r="26">
      <c r="A26" s="33" t="n">
        <v>22</v>
      </c>
      <c r="B26" s="34" t="inlineStr">
        <is>
          <t>Charge Controller</t>
        </is>
      </c>
      <c r="C26" s="14" t="inlineStr">
        <is>
          <t>Solar system</t>
        </is>
      </c>
      <c r="D26" s="33" t="n">
        <v>1</v>
      </c>
      <c r="E26" s="9">
        <f>ROUND(G26/$J$4,0)</f>
        <v/>
      </c>
      <c r="F26" s="35">
        <f>ROUND(G26/$J$4,0)</f>
        <v/>
      </c>
      <c r="G26" s="36" t="n">
        <v>40000</v>
      </c>
    </row>
    <row r="27">
      <c r="A27" s="27" t="n">
        <v>23</v>
      </c>
      <c r="B27" s="28" t="inlineStr">
        <is>
          <t>Inverter</t>
        </is>
      </c>
      <c r="C27" s="29" t="inlineStr">
        <is>
          <t>Power conversion</t>
        </is>
      </c>
      <c r="D27" s="27" t="n">
        <v>1</v>
      </c>
      <c r="E27" s="30">
        <f>ROUND(G27/$J$4,0)</f>
        <v/>
      </c>
      <c r="F27" s="31">
        <f>ROUND(G27/$J$4,0)</f>
        <v/>
      </c>
      <c r="G27" s="32" t="n">
        <v>80000</v>
      </c>
    </row>
    <row r="28">
      <c r="A28" s="33" t="n">
        <v>24</v>
      </c>
      <c r="B28" s="34" t="inlineStr">
        <is>
          <t>Wires &amp; Installation</t>
        </is>
      </c>
      <c r="C28" s="14" t="inlineStr">
        <is>
          <t>Setup</t>
        </is>
      </c>
      <c r="D28" s="33" t="n">
        <v>1</v>
      </c>
      <c r="E28" s="9">
        <f>ROUND(G28/$J$4,0)</f>
        <v/>
      </c>
      <c r="F28" s="35">
        <f>ROUND(G28/$J$4,0)</f>
        <v/>
      </c>
      <c r="G28" s="36" t="n">
        <v>80000</v>
      </c>
    </row>
    <row r="29" ht="28" customHeight="1">
      <c r="A29" s="37" t="inlineStr">
        <is>
          <t>Total Prototype Hardware (12 Cows)</t>
        </is>
      </c>
      <c r="B29" s="38" t="n"/>
      <c r="C29" s="38" t="n"/>
      <c r="D29" s="38" t="n"/>
      <c r="E29" s="38" t="n"/>
      <c r="F29" s="39">
        <f>SUM(F5:F28)</f>
        <v/>
      </c>
      <c r="G29" s="40">
        <f>SUM(G5:G28)</f>
        <v/>
      </c>
    </row>
    <row r="31">
      <c r="A31" s="41" t="inlineStr">
        <is>
          <t>Note: USD prices are calculated using the exchange rate in cell J4. Change J4 to update all USD values automatically.</t>
        </is>
      </c>
    </row>
  </sheetData>
  <mergeCells count="4">
    <mergeCell ref="A31:G31"/>
    <mergeCell ref="A29:D29"/>
    <mergeCell ref="A2:G2"/>
    <mergeCell ref="A1:G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2026-04-06T23:04:12Z</dcterms:created>
  <dcterms:modified xmlns:dcterms="http://purl.org/dc/terms/" xmlns:xsi="http://www.w3.org/2001/XMLSchema-instance" xsi:type="dcterms:W3CDTF">2026-04-06T23:04:12Z</dcterms:modified>
</cp:coreProperties>
</file>